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kedex" sheetId="2" state="visible" r:id="rId2"/>
    <sheet name="Shiny" sheetId="3" state="visible" r:id="rId3"/>
    <sheet name="XP" sheetId="4" state="visible" r:id="rId4"/>
    <sheet name="Medaglie" sheetId="5" state="visible" r:id="rId5"/>
    <sheet name="Battaglie" sheetId="6" state="visible" r:id="rId6"/>
    <sheet name="Leggendar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165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0" fillId="2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Dashboard Pokémon GO</t>
        </is>
      </c>
    </row>
    <row r="2">
      <c r="A2" t="inlineStr">
        <is>
          <t>Celle gialle = inserimento manuale | Celle verdi = calcoli automatici</t>
        </is>
      </c>
    </row>
    <row r="4">
      <c r="A4" s="2" t="inlineStr">
        <is>
          <t>RISORSE</t>
        </is>
      </c>
    </row>
    <row r="5">
      <c r="A5" s="3" t="inlineStr">
        <is>
          <t>Stardust</t>
        </is>
      </c>
      <c r="B5" s="4" t="n">
        <v>0</v>
      </c>
    </row>
    <row r="6">
      <c r="A6" s="3" t="inlineStr">
        <is>
          <t>Polvere Lucente</t>
        </is>
      </c>
      <c r="B6" s="4" t="n">
        <v>0</v>
      </c>
    </row>
    <row r="7">
      <c r="A7" s="3" t="inlineStr">
        <is>
          <t>Poké Ball</t>
        </is>
      </c>
      <c r="B7" s="4" t="n">
        <v>0</v>
      </c>
    </row>
    <row r="8">
      <c r="A8" s="3" t="inlineStr">
        <is>
          <t>Mega Energy</t>
        </is>
      </c>
      <c r="B8" s="4" t="n">
        <v>0</v>
      </c>
    </row>
    <row r="9">
      <c r="A9" s="3" t="inlineStr">
        <is>
          <t>XP Totale</t>
        </is>
      </c>
      <c r="B9" s="4" t="n">
        <v>0</v>
      </c>
    </row>
    <row r="11">
      <c r="A11" s="2" t="inlineStr">
        <is>
          <t>LIVELLO &amp; XP</t>
        </is>
      </c>
    </row>
    <row r="12">
      <c r="A12" s="3" t="inlineStr">
        <is>
          <t>Livello attuale</t>
        </is>
      </c>
      <c r="B12" s="5">
        <f>IF(B9="","",MATCH(B9,XP!$B$4:$B$83,1))</f>
        <v/>
      </c>
    </row>
    <row r="13">
      <c r="A13" s="3" t="inlineStr">
        <is>
          <t>XP per prossimo livello</t>
        </is>
      </c>
      <c r="B13" s="5">
        <f>IF(B12&gt;=80,0,INDEX(XP!$B$4:$B$83,B12+1))</f>
        <v/>
      </c>
    </row>
    <row r="14">
      <c r="A14" s="3" t="inlineStr">
        <is>
          <t>XP mancanti</t>
        </is>
      </c>
      <c r="B14" s="5">
        <f>IF(B12&gt;=80,0,B13-B9)</f>
        <v/>
      </c>
    </row>
    <row r="16">
      <c r="A16" s="2" t="inlineStr">
        <is>
          <t>POKÉDEX</t>
        </is>
      </c>
    </row>
    <row r="17">
      <c r="A17" s="3" t="inlineStr">
        <is>
          <t>Totale catturati</t>
        </is>
      </c>
      <c r="B17" s="5">
        <f>Pokedex!C14</f>
        <v/>
      </c>
    </row>
    <row r="18">
      <c r="A18" s="3" t="inlineStr">
        <is>
          <t>% Catturati</t>
        </is>
      </c>
      <c r="B18" s="6">
        <f>Pokedex!F14</f>
        <v/>
      </c>
    </row>
    <row r="19">
      <c r="A19" s="3" t="inlineStr">
        <is>
          <t>% Visti</t>
        </is>
      </c>
      <c r="B19" s="6">
        <f>Pokedex!G14</f>
        <v/>
      </c>
    </row>
    <row r="21">
      <c r="A21" s="2" t="inlineStr">
        <is>
          <t>SHINY</t>
        </is>
      </c>
    </row>
    <row r="22">
      <c r="A22" s="3" t="inlineStr">
        <is>
          <t>Shiny registrati</t>
        </is>
      </c>
      <c r="B22" s="7">
        <f>COUNTA(Shiny!B5:B54)</f>
        <v/>
      </c>
    </row>
    <row r="24">
      <c r="A24" s="2" t="inlineStr">
        <is>
          <t>RAID &amp; GBL</t>
        </is>
      </c>
    </row>
    <row r="25">
      <c r="A25" s="3" t="inlineStr">
        <is>
          <t>Raid Win Rate</t>
        </is>
      </c>
      <c r="B25" s="6">
        <f>Battaglie!B6</f>
        <v/>
      </c>
    </row>
    <row r="26">
      <c r="A26" s="3" t="inlineStr">
        <is>
          <t>GBL Win Rate</t>
        </is>
      </c>
      <c r="B26" s="6">
        <f>Battaglie!B11</f>
        <v/>
      </c>
    </row>
    <row r="28">
      <c r="A28" s="2" t="inlineStr">
        <is>
          <t>LEGGENDARI</t>
        </is>
      </c>
    </row>
    <row r="29">
      <c r="A29" s="3" t="inlineStr">
        <is>
          <t>Catturati</t>
        </is>
      </c>
      <c r="B29" s="7">
        <f>COUNTIF(Leggendari!B5:B58,"Sì")+COUNTIF(Leggendari!B5:B58,"Si")+COUNTIF(Leggendari!B5:B58,"sì")</f>
        <v/>
      </c>
    </row>
    <row r="30">
      <c r="A30" s="3" t="inlineStr">
        <is>
          <t>Shiny</t>
        </is>
      </c>
      <c r="B30" s="7">
        <f>COUNTIF(Leggendari!C5:C58,"Sì")+COUNTIF(Leggendari!C5:C58,"Si")+COUNTIF(Leggendari!C5:C58,"sì")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Pokédex per Generazione</t>
        </is>
      </c>
    </row>
    <row r="2">
      <c r="A2" t="inlineStr">
        <is>
          <t>Inserisci manualmente Catturati e Visti (celle gialle).</t>
        </is>
      </c>
    </row>
    <row r="4">
      <c r="A4" s="8" t="inlineStr">
        <is>
          <t>Gen</t>
        </is>
      </c>
      <c r="B4" s="8" t="inlineStr">
        <is>
          <t>Totale</t>
        </is>
      </c>
      <c r="C4" s="8" t="inlineStr">
        <is>
          <t>Catturati</t>
        </is>
      </c>
      <c r="D4" s="8" t="inlineStr">
        <is>
          <t>Visti</t>
        </is>
      </c>
      <c r="E4" s="8" t="inlineStr">
        <is>
          <t>Mancanti</t>
        </is>
      </c>
      <c r="F4" s="8" t="inlineStr">
        <is>
          <t>% Catturati</t>
        </is>
      </c>
      <c r="G4" s="8" t="inlineStr">
        <is>
          <t>% Visti</t>
        </is>
      </c>
    </row>
    <row r="5">
      <c r="A5" s="9" t="inlineStr">
        <is>
          <t>Gen 1</t>
        </is>
      </c>
      <c r="B5" s="7" t="n">
        <v>151</v>
      </c>
      <c r="C5" s="10" t="n">
        <v>0</v>
      </c>
      <c r="D5" s="10" t="n">
        <v>0</v>
      </c>
      <c r="E5" s="11">
        <f>B5-C5</f>
        <v/>
      </c>
      <c r="F5" s="6">
        <f>IF(B5=0,0,C5/B5)</f>
        <v/>
      </c>
      <c r="G5" s="6">
        <f>IF(B5=0,0,D5/B5)</f>
        <v/>
      </c>
    </row>
    <row r="6">
      <c r="A6" s="9" t="inlineStr">
        <is>
          <t>Gen 2</t>
        </is>
      </c>
      <c r="B6" s="7" t="n">
        <v>100</v>
      </c>
      <c r="C6" s="10" t="n">
        <v>0</v>
      </c>
      <c r="D6" s="10" t="n">
        <v>0</v>
      </c>
      <c r="E6" s="11">
        <f>B6-C6</f>
        <v/>
      </c>
      <c r="F6" s="6">
        <f>IF(B6=0,0,C6/B6)</f>
        <v/>
      </c>
      <c r="G6" s="6">
        <f>IF(B6=0,0,D6/B6)</f>
        <v/>
      </c>
    </row>
    <row r="7">
      <c r="A7" s="9" t="inlineStr">
        <is>
          <t>Gen 3</t>
        </is>
      </c>
      <c r="B7" s="7" t="n">
        <v>135</v>
      </c>
      <c r="C7" s="10" t="n">
        <v>0</v>
      </c>
      <c r="D7" s="10" t="n">
        <v>0</v>
      </c>
      <c r="E7" s="11">
        <f>B7-C7</f>
        <v/>
      </c>
      <c r="F7" s="6">
        <f>IF(B7=0,0,C7/B7)</f>
        <v/>
      </c>
      <c r="G7" s="6">
        <f>IF(B7=0,0,D7/B7)</f>
        <v/>
      </c>
    </row>
    <row r="8">
      <c r="A8" s="9" t="inlineStr">
        <is>
          <t>Gen 4</t>
        </is>
      </c>
      <c r="B8" s="7" t="n">
        <v>107</v>
      </c>
      <c r="C8" s="10" t="n">
        <v>0</v>
      </c>
      <c r="D8" s="10" t="n">
        <v>0</v>
      </c>
      <c r="E8" s="11">
        <f>B8-C8</f>
        <v/>
      </c>
      <c r="F8" s="6">
        <f>IF(B8=0,0,C8/B8)</f>
        <v/>
      </c>
      <c r="G8" s="6">
        <f>IF(B8=0,0,D8/B8)</f>
        <v/>
      </c>
    </row>
    <row r="9">
      <c r="A9" s="9" t="inlineStr">
        <is>
          <t>Gen 5</t>
        </is>
      </c>
      <c r="B9" s="7" t="n">
        <v>156</v>
      </c>
      <c r="C9" s="10" t="n">
        <v>0</v>
      </c>
      <c r="D9" s="10" t="n">
        <v>0</v>
      </c>
      <c r="E9" s="11">
        <f>B9-C9</f>
        <v/>
      </c>
      <c r="F9" s="6">
        <f>IF(B9=0,0,C9/B9)</f>
        <v/>
      </c>
      <c r="G9" s="6">
        <f>IF(B9=0,0,D9/B9)</f>
        <v/>
      </c>
    </row>
    <row r="10">
      <c r="A10" s="9" t="inlineStr">
        <is>
          <t>Gen 6</t>
        </is>
      </c>
      <c r="B10" s="7" t="n">
        <v>72</v>
      </c>
      <c r="C10" s="10" t="n">
        <v>0</v>
      </c>
      <c r="D10" s="10" t="n">
        <v>0</v>
      </c>
      <c r="E10" s="11">
        <f>B10-C10</f>
        <v/>
      </c>
      <c r="F10" s="6">
        <f>IF(B10=0,0,C10/B10)</f>
        <v/>
      </c>
      <c r="G10" s="6">
        <f>IF(B10=0,0,D10/B10)</f>
        <v/>
      </c>
    </row>
    <row r="11">
      <c r="A11" s="9" t="inlineStr">
        <is>
          <t>Gen 7</t>
        </is>
      </c>
      <c r="B11" s="7" t="n">
        <v>88</v>
      </c>
      <c r="C11" s="10" t="n">
        <v>0</v>
      </c>
      <c r="D11" s="10" t="n">
        <v>0</v>
      </c>
      <c r="E11" s="11">
        <f>B11-C11</f>
        <v/>
      </c>
      <c r="F11" s="6">
        <f>IF(B11=0,0,C11/B11)</f>
        <v/>
      </c>
      <c r="G11" s="6">
        <f>IF(B11=0,0,D11/B11)</f>
        <v/>
      </c>
    </row>
    <row r="12">
      <c r="A12" s="9" t="inlineStr">
        <is>
          <t>Gen 8</t>
        </is>
      </c>
      <c r="B12" s="7" t="n">
        <v>96</v>
      </c>
      <c r="C12" s="10" t="n">
        <v>0</v>
      </c>
      <c r="D12" s="10" t="n">
        <v>0</v>
      </c>
      <c r="E12" s="11">
        <f>B12-C12</f>
        <v/>
      </c>
      <c r="F12" s="6">
        <f>IF(B12=0,0,C12/B12)</f>
        <v/>
      </c>
      <c r="G12" s="6">
        <f>IF(B12=0,0,D12/B12)</f>
        <v/>
      </c>
    </row>
    <row r="13">
      <c r="A13" s="9" t="inlineStr">
        <is>
          <t>Gen 9</t>
        </is>
      </c>
      <c r="B13" s="7" t="n">
        <v>120</v>
      </c>
      <c r="C13" s="10" t="n">
        <v>0</v>
      </c>
      <c r="D13" s="10" t="n">
        <v>0</v>
      </c>
      <c r="E13" s="11">
        <f>B13-C13</f>
        <v/>
      </c>
      <c r="F13" s="6">
        <f>IF(B13=0,0,C13/B13)</f>
        <v/>
      </c>
      <c r="G13" s="6">
        <f>IF(B13=0,0,D13/B13)</f>
        <v/>
      </c>
    </row>
    <row r="14">
      <c r="A14" s="12" t="inlineStr">
        <is>
          <t>TOTALE</t>
        </is>
      </c>
      <c r="B14" s="12">
        <f>SUM(B5:B13)</f>
        <v/>
      </c>
      <c r="C14" s="12">
        <f>SUM(C5:C13)</f>
        <v/>
      </c>
      <c r="D14" s="12">
        <f>SUM(D5:D13)</f>
        <v/>
      </c>
      <c r="E14" s="12">
        <f>B14-C14</f>
        <v/>
      </c>
      <c r="F14" s="13">
        <f>IF(B14=0,0,C14/B14)</f>
        <v/>
      </c>
      <c r="G14" s="13">
        <f>IF(B14=0,0,D14/B14)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Registro Shiny</t>
        </is>
      </c>
    </row>
    <row r="2">
      <c r="A2" t="inlineStr">
        <is>
          <t>Compila le righe gialle. IV% si calcola automaticamente.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Metodo</t>
        </is>
      </c>
      <c r="I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0" t="n"/>
      <c r="G5" s="14">
        <f>IF(OR(D5="",E5="",F5=""),"",ROUND((D5+E5+F5)/45*100,2))</f>
        <v/>
      </c>
      <c r="H5" s="10" t="n"/>
      <c r="I5" s="15" t="n"/>
    </row>
    <row r="6">
      <c r="A6" s="10" t="n"/>
      <c r="B6" s="10" t="n"/>
      <c r="C6" s="10" t="n"/>
      <c r="D6" s="10" t="n"/>
      <c r="E6" s="10" t="n"/>
      <c r="F6" s="10" t="n"/>
      <c r="G6" s="14">
        <f>IF(OR(D6="",E6="",F6=""),"",ROUND((D6+E6+F6)/45*100,2))</f>
        <v/>
      </c>
      <c r="H6" s="10" t="n"/>
      <c r="I6" s="15" t="n"/>
    </row>
    <row r="7">
      <c r="A7" s="10" t="n"/>
      <c r="B7" s="10" t="n"/>
      <c r="C7" s="10" t="n"/>
      <c r="D7" s="10" t="n"/>
      <c r="E7" s="10" t="n"/>
      <c r="F7" s="10" t="n"/>
      <c r="G7" s="14">
        <f>IF(OR(D7="",E7="",F7=""),"",ROUND((D7+E7+F7)/45*100,2))</f>
        <v/>
      </c>
      <c r="H7" s="10" t="n"/>
      <c r="I7" s="15" t="n"/>
    </row>
    <row r="8">
      <c r="A8" s="10" t="n"/>
      <c r="B8" s="10" t="n"/>
      <c r="C8" s="10" t="n"/>
      <c r="D8" s="10" t="n"/>
      <c r="E8" s="10" t="n"/>
      <c r="F8" s="10" t="n"/>
      <c r="G8" s="14">
        <f>IF(OR(D8="",E8="",F8=""),"",ROUND((D8+E8+F8)/45*100,2))</f>
        <v/>
      </c>
      <c r="H8" s="10" t="n"/>
      <c r="I8" s="15" t="n"/>
    </row>
    <row r="9">
      <c r="A9" s="10" t="n"/>
      <c r="B9" s="10" t="n"/>
      <c r="C9" s="10" t="n"/>
      <c r="D9" s="10" t="n"/>
      <c r="E9" s="10" t="n"/>
      <c r="F9" s="10" t="n"/>
      <c r="G9" s="14">
        <f>IF(OR(D9="",E9="",F9=""),"",ROUND((D9+E9+F9)/45*100,2))</f>
        <v/>
      </c>
      <c r="H9" s="10" t="n"/>
      <c r="I9" s="15" t="n"/>
    </row>
    <row r="10">
      <c r="A10" s="10" t="n"/>
      <c r="B10" s="10" t="n"/>
      <c r="C10" s="10" t="n"/>
      <c r="D10" s="10" t="n"/>
      <c r="E10" s="10" t="n"/>
      <c r="F10" s="10" t="n"/>
      <c r="G10" s="14">
        <f>IF(OR(D10="",E10="",F10=""),"",ROUND((D10+E10+F10)/45*100,2))</f>
        <v/>
      </c>
      <c r="H10" s="10" t="n"/>
      <c r="I10" s="15" t="n"/>
    </row>
    <row r="11">
      <c r="A11" s="10" t="n"/>
      <c r="B11" s="10" t="n"/>
      <c r="C11" s="10" t="n"/>
      <c r="D11" s="10" t="n"/>
      <c r="E11" s="10" t="n"/>
      <c r="F11" s="10" t="n"/>
      <c r="G11" s="14">
        <f>IF(OR(D11="",E11="",F11=""),"",ROUND((D11+E11+F11)/45*100,2))</f>
        <v/>
      </c>
      <c r="H11" s="10" t="n"/>
      <c r="I11" s="15" t="n"/>
    </row>
    <row r="12">
      <c r="A12" s="10" t="n"/>
      <c r="B12" s="10" t="n"/>
      <c r="C12" s="10" t="n"/>
      <c r="D12" s="10" t="n"/>
      <c r="E12" s="10" t="n"/>
      <c r="F12" s="10" t="n"/>
      <c r="G12" s="14">
        <f>IF(OR(D12="",E12="",F12=""),"",ROUND((D12+E12+F12)/45*100,2))</f>
        <v/>
      </c>
      <c r="H12" s="10" t="n"/>
      <c r="I12" s="15" t="n"/>
    </row>
    <row r="13">
      <c r="A13" s="10" t="n"/>
      <c r="B13" s="10" t="n"/>
      <c r="C13" s="10" t="n"/>
      <c r="D13" s="10" t="n"/>
      <c r="E13" s="10" t="n"/>
      <c r="F13" s="10" t="n"/>
      <c r="G13" s="14">
        <f>IF(OR(D13="",E13="",F13=""),"",ROUND((D13+E13+F13)/45*100,2))</f>
        <v/>
      </c>
      <c r="H13" s="10" t="n"/>
      <c r="I13" s="15" t="n"/>
    </row>
    <row r="14">
      <c r="A14" s="10" t="n"/>
      <c r="B14" s="10" t="n"/>
      <c r="C14" s="10" t="n"/>
      <c r="D14" s="10" t="n"/>
      <c r="E14" s="10" t="n"/>
      <c r="F14" s="10" t="n"/>
      <c r="G14" s="14">
        <f>IF(OR(D14="",E14="",F14=""),"",ROUND((D14+E14+F14)/45*100,2))</f>
        <v/>
      </c>
      <c r="H14" s="10" t="n"/>
      <c r="I14" s="15" t="n"/>
    </row>
    <row r="15">
      <c r="A15" s="10" t="n"/>
      <c r="B15" s="10" t="n"/>
      <c r="C15" s="10" t="n"/>
      <c r="D15" s="10" t="n"/>
      <c r="E15" s="10" t="n"/>
      <c r="F15" s="10" t="n"/>
      <c r="G15" s="14">
        <f>IF(OR(D15="",E15="",F15=""),"",ROUND((D15+E15+F15)/45*100,2))</f>
        <v/>
      </c>
      <c r="H15" s="10" t="n"/>
      <c r="I15" s="15" t="n"/>
    </row>
    <row r="16">
      <c r="A16" s="10" t="n"/>
      <c r="B16" s="10" t="n"/>
      <c r="C16" s="10" t="n"/>
      <c r="D16" s="10" t="n"/>
      <c r="E16" s="10" t="n"/>
      <c r="F16" s="10" t="n"/>
      <c r="G16" s="14">
        <f>IF(OR(D16="",E16="",F16=""),"",ROUND((D16+E16+F16)/45*100,2))</f>
        <v/>
      </c>
      <c r="H16" s="10" t="n"/>
      <c r="I16" s="15" t="n"/>
    </row>
    <row r="17">
      <c r="A17" s="10" t="n"/>
      <c r="B17" s="10" t="n"/>
      <c r="C17" s="10" t="n"/>
      <c r="D17" s="10" t="n"/>
      <c r="E17" s="10" t="n"/>
      <c r="F17" s="10" t="n"/>
      <c r="G17" s="14">
        <f>IF(OR(D17="",E17="",F17=""),"",ROUND((D17+E17+F17)/45*100,2))</f>
        <v/>
      </c>
      <c r="H17" s="10" t="n"/>
      <c r="I17" s="15" t="n"/>
    </row>
    <row r="18">
      <c r="A18" s="10" t="n"/>
      <c r="B18" s="10" t="n"/>
      <c r="C18" s="10" t="n"/>
      <c r="D18" s="10" t="n"/>
      <c r="E18" s="10" t="n"/>
      <c r="F18" s="10" t="n"/>
      <c r="G18" s="14">
        <f>IF(OR(D18="",E18="",F18=""),"",ROUND((D18+E18+F18)/45*100,2))</f>
        <v/>
      </c>
      <c r="H18" s="10" t="n"/>
      <c r="I18" s="15" t="n"/>
    </row>
    <row r="19">
      <c r="A19" s="10" t="n"/>
      <c r="B19" s="10" t="n"/>
      <c r="C19" s="10" t="n"/>
      <c r="D19" s="10" t="n"/>
      <c r="E19" s="10" t="n"/>
      <c r="F19" s="10" t="n"/>
      <c r="G19" s="14">
        <f>IF(OR(D19="",E19="",F19=""),"",ROUND((D19+E19+F19)/45*100,2))</f>
        <v/>
      </c>
      <c r="H19" s="10" t="n"/>
      <c r="I19" s="15" t="n"/>
    </row>
    <row r="20">
      <c r="A20" s="10" t="n"/>
      <c r="B20" s="10" t="n"/>
      <c r="C20" s="10" t="n"/>
      <c r="D20" s="10" t="n"/>
      <c r="E20" s="10" t="n"/>
      <c r="F20" s="10" t="n"/>
      <c r="G20" s="14">
        <f>IF(OR(D20="",E20="",F20=""),"",ROUND((D20+E20+F20)/45*100,2))</f>
        <v/>
      </c>
      <c r="H20" s="10" t="n"/>
      <c r="I20" s="15" t="n"/>
    </row>
    <row r="21">
      <c r="A21" s="10" t="n"/>
      <c r="B21" s="10" t="n"/>
      <c r="C21" s="10" t="n"/>
      <c r="D21" s="10" t="n"/>
      <c r="E21" s="10" t="n"/>
      <c r="F21" s="10" t="n"/>
      <c r="G21" s="14">
        <f>IF(OR(D21="",E21="",F21=""),"",ROUND((D21+E21+F21)/45*100,2))</f>
        <v/>
      </c>
      <c r="H21" s="10" t="n"/>
      <c r="I21" s="15" t="n"/>
    </row>
    <row r="22">
      <c r="A22" s="10" t="n"/>
      <c r="B22" s="10" t="n"/>
      <c r="C22" s="10" t="n"/>
      <c r="D22" s="10" t="n"/>
      <c r="E22" s="10" t="n"/>
      <c r="F22" s="10" t="n"/>
      <c r="G22" s="14">
        <f>IF(OR(D22="",E22="",F22=""),"",ROUND((D22+E22+F22)/45*100,2))</f>
        <v/>
      </c>
      <c r="H22" s="10" t="n"/>
      <c r="I22" s="15" t="n"/>
    </row>
    <row r="23">
      <c r="A23" s="10" t="n"/>
      <c r="B23" s="10" t="n"/>
      <c r="C23" s="10" t="n"/>
      <c r="D23" s="10" t="n"/>
      <c r="E23" s="10" t="n"/>
      <c r="F23" s="10" t="n"/>
      <c r="G23" s="14">
        <f>IF(OR(D23="",E23="",F23=""),"",ROUND((D23+E23+F23)/45*100,2))</f>
        <v/>
      </c>
      <c r="H23" s="10" t="n"/>
      <c r="I23" s="15" t="n"/>
    </row>
    <row r="24">
      <c r="A24" s="10" t="n"/>
      <c r="B24" s="10" t="n"/>
      <c r="C24" s="10" t="n"/>
      <c r="D24" s="10" t="n"/>
      <c r="E24" s="10" t="n"/>
      <c r="F24" s="10" t="n"/>
      <c r="G24" s="14">
        <f>IF(OR(D24="",E24="",F24=""),"",ROUND((D24+E24+F24)/45*100,2))</f>
        <v/>
      </c>
      <c r="H24" s="10" t="n"/>
      <c r="I24" s="15" t="n"/>
    </row>
    <row r="25">
      <c r="A25" s="10" t="n"/>
      <c r="B25" s="10" t="n"/>
      <c r="C25" s="10" t="n"/>
      <c r="D25" s="10" t="n"/>
      <c r="E25" s="10" t="n"/>
      <c r="F25" s="10" t="n"/>
      <c r="G25" s="14">
        <f>IF(OR(D25="",E25="",F25=""),"",ROUND((D25+E25+F25)/45*100,2))</f>
        <v/>
      </c>
      <c r="H25" s="10" t="n"/>
      <c r="I25" s="15" t="n"/>
    </row>
    <row r="26">
      <c r="A26" s="10" t="n"/>
      <c r="B26" s="10" t="n"/>
      <c r="C26" s="10" t="n"/>
      <c r="D26" s="10" t="n"/>
      <c r="E26" s="10" t="n"/>
      <c r="F26" s="10" t="n"/>
      <c r="G26" s="14">
        <f>IF(OR(D26="",E26="",F26=""),"",ROUND((D26+E26+F26)/45*100,2))</f>
        <v/>
      </c>
      <c r="H26" s="10" t="n"/>
      <c r="I26" s="15" t="n"/>
    </row>
    <row r="27">
      <c r="A27" s="10" t="n"/>
      <c r="B27" s="10" t="n"/>
      <c r="C27" s="10" t="n"/>
      <c r="D27" s="10" t="n"/>
      <c r="E27" s="10" t="n"/>
      <c r="F27" s="10" t="n"/>
      <c r="G27" s="14">
        <f>IF(OR(D27="",E27="",F27=""),"",ROUND((D27+E27+F27)/45*100,2))</f>
        <v/>
      </c>
      <c r="H27" s="10" t="n"/>
      <c r="I27" s="15" t="n"/>
    </row>
    <row r="28">
      <c r="A28" s="10" t="n"/>
      <c r="B28" s="10" t="n"/>
      <c r="C28" s="10" t="n"/>
      <c r="D28" s="10" t="n"/>
      <c r="E28" s="10" t="n"/>
      <c r="F28" s="10" t="n"/>
      <c r="G28" s="14">
        <f>IF(OR(D28="",E28="",F28=""),"",ROUND((D28+E28+F28)/45*100,2))</f>
        <v/>
      </c>
      <c r="H28" s="10" t="n"/>
      <c r="I28" s="15" t="n"/>
    </row>
    <row r="29">
      <c r="A29" s="10" t="n"/>
      <c r="B29" s="10" t="n"/>
      <c r="C29" s="10" t="n"/>
      <c r="D29" s="10" t="n"/>
      <c r="E29" s="10" t="n"/>
      <c r="F29" s="10" t="n"/>
      <c r="G29" s="14">
        <f>IF(OR(D29="",E29="",F29=""),"",ROUND((D29+E29+F29)/45*100,2))</f>
        <v/>
      </c>
      <c r="H29" s="10" t="n"/>
      <c r="I29" s="15" t="n"/>
    </row>
    <row r="30">
      <c r="A30" s="10" t="n"/>
      <c r="B30" s="10" t="n"/>
      <c r="C30" s="10" t="n"/>
      <c r="D30" s="10" t="n"/>
      <c r="E30" s="10" t="n"/>
      <c r="F30" s="10" t="n"/>
      <c r="G30" s="14">
        <f>IF(OR(D30="",E30="",F30=""),"",ROUND((D30+E30+F30)/45*100,2))</f>
        <v/>
      </c>
      <c r="H30" s="10" t="n"/>
      <c r="I30" s="15" t="n"/>
    </row>
    <row r="31">
      <c r="A31" s="10" t="n"/>
      <c r="B31" s="10" t="n"/>
      <c r="C31" s="10" t="n"/>
      <c r="D31" s="10" t="n"/>
      <c r="E31" s="10" t="n"/>
      <c r="F31" s="10" t="n"/>
      <c r="G31" s="14">
        <f>IF(OR(D31="",E31="",F31=""),"",ROUND((D31+E31+F31)/45*100,2))</f>
        <v/>
      </c>
      <c r="H31" s="10" t="n"/>
      <c r="I31" s="15" t="n"/>
    </row>
    <row r="32">
      <c r="A32" s="10" t="n"/>
      <c r="B32" s="10" t="n"/>
      <c r="C32" s="10" t="n"/>
      <c r="D32" s="10" t="n"/>
      <c r="E32" s="10" t="n"/>
      <c r="F32" s="10" t="n"/>
      <c r="G32" s="14">
        <f>IF(OR(D32="",E32="",F32=""),"",ROUND((D32+E32+F32)/45*100,2))</f>
        <v/>
      </c>
      <c r="H32" s="10" t="n"/>
      <c r="I32" s="15" t="n"/>
    </row>
    <row r="33">
      <c r="A33" s="10" t="n"/>
      <c r="B33" s="10" t="n"/>
      <c r="C33" s="10" t="n"/>
      <c r="D33" s="10" t="n"/>
      <c r="E33" s="10" t="n"/>
      <c r="F33" s="10" t="n"/>
      <c r="G33" s="14">
        <f>IF(OR(D33="",E33="",F33=""),"",ROUND((D33+E33+F33)/45*100,2))</f>
        <v/>
      </c>
      <c r="H33" s="10" t="n"/>
      <c r="I33" s="15" t="n"/>
    </row>
    <row r="34">
      <c r="A34" s="10" t="n"/>
      <c r="B34" s="10" t="n"/>
      <c r="C34" s="10" t="n"/>
      <c r="D34" s="10" t="n"/>
      <c r="E34" s="10" t="n"/>
      <c r="F34" s="10" t="n"/>
      <c r="G34" s="14">
        <f>IF(OR(D34="",E34="",F34=""),"",ROUND((D34+E34+F34)/45*100,2))</f>
        <v/>
      </c>
      <c r="H34" s="10" t="n"/>
      <c r="I34" s="15" t="n"/>
    </row>
    <row r="35">
      <c r="A35" s="10" t="n"/>
      <c r="B35" s="10" t="n"/>
      <c r="C35" s="10" t="n"/>
      <c r="D35" s="10" t="n"/>
      <c r="E35" s="10" t="n"/>
      <c r="F35" s="10" t="n"/>
      <c r="G35" s="14">
        <f>IF(OR(D35="",E35="",F35=""),"",ROUND((D35+E35+F35)/45*100,2))</f>
        <v/>
      </c>
      <c r="H35" s="10" t="n"/>
      <c r="I35" s="15" t="n"/>
    </row>
    <row r="36">
      <c r="A36" s="10" t="n"/>
      <c r="B36" s="10" t="n"/>
      <c r="C36" s="10" t="n"/>
      <c r="D36" s="10" t="n"/>
      <c r="E36" s="10" t="n"/>
      <c r="F36" s="10" t="n"/>
      <c r="G36" s="14">
        <f>IF(OR(D36="",E36="",F36=""),"",ROUND((D36+E36+F36)/45*100,2))</f>
        <v/>
      </c>
      <c r="H36" s="10" t="n"/>
      <c r="I36" s="15" t="n"/>
    </row>
    <row r="37">
      <c r="A37" s="10" t="n"/>
      <c r="B37" s="10" t="n"/>
      <c r="C37" s="10" t="n"/>
      <c r="D37" s="10" t="n"/>
      <c r="E37" s="10" t="n"/>
      <c r="F37" s="10" t="n"/>
      <c r="G37" s="14">
        <f>IF(OR(D37="",E37="",F37=""),"",ROUND((D37+E37+F37)/45*100,2))</f>
        <v/>
      </c>
      <c r="H37" s="10" t="n"/>
      <c r="I37" s="15" t="n"/>
    </row>
    <row r="38">
      <c r="A38" s="10" t="n"/>
      <c r="B38" s="10" t="n"/>
      <c r="C38" s="10" t="n"/>
      <c r="D38" s="10" t="n"/>
      <c r="E38" s="10" t="n"/>
      <c r="F38" s="10" t="n"/>
      <c r="G38" s="14">
        <f>IF(OR(D38="",E38="",F38=""),"",ROUND((D38+E38+F38)/45*100,2))</f>
        <v/>
      </c>
      <c r="H38" s="10" t="n"/>
      <c r="I38" s="15" t="n"/>
    </row>
    <row r="39">
      <c r="A39" s="10" t="n"/>
      <c r="B39" s="10" t="n"/>
      <c r="C39" s="10" t="n"/>
      <c r="D39" s="10" t="n"/>
      <c r="E39" s="10" t="n"/>
      <c r="F39" s="10" t="n"/>
      <c r="G39" s="14">
        <f>IF(OR(D39="",E39="",F39=""),"",ROUND((D39+E39+F39)/45*100,2))</f>
        <v/>
      </c>
      <c r="H39" s="10" t="n"/>
      <c r="I39" s="15" t="n"/>
    </row>
    <row r="40">
      <c r="A40" s="10" t="n"/>
      <c r="B40" s="10" t="n"/>
      <c r="C40" s="10" t="n"/>
      <c r="D40" s="10" t="n"/>
      <c r="E40" s="10" t="n"/>
      <c r="F40" s="10" t="n"/>
      <c r="G40" s="14">
        <f>IF(OR(D40="",E40="",F40=""),"",ROUND((D40+E40+F40)/45*100,2))</f>
        <v/>
      </c>
      <c r="H40" s="10" t="n"/>
      <c r="I40" s="15" t="n"/>
    </row>
    <row r="41">
      <c r="A41" s="10" t="n"/>
      <c r="B41" s="10" t="n"/>
      <c r="C41" s="10" t="n"/>
      <c r="D41" s="10" t="n"/>
      <c r="E41" s="10" t="n"/>
      <c r="F41" s="10" t="n"/>
      <c r="G41" s="14">
        <f>IF(OR(D41="",E41="",F41=""),"",ROUND((D41+E41+F41)/45*100,2))</f>
        <v/>
      </c>
      <c r="H41" s="10" t="n"/>
      <c r="I41" s="15" t="n"/>
    </row>
    <row r="42">
      <c r="A42" s="10" t="n"/>
      <c r="B42" s="10" t="n"/>
      <c r="C42" s="10" t="n"/>
      <c r="D42" s="10" t="n"/>
      <c r="E42" s="10" t="n"/>
      <c r="F42" s="10" t="n"/>
      <c r="G42" s="14">
        <f>IF(OR(D42="",E42="",F42=""),"",ROUND((D42+E42+F42)/45*100,2))</f>
        <v/>
      </c>
      <c r="H42" s="10" t="n"/>
      <c r="I42" s="15" t="n"/>
    </row>
    <row r="43">
      <c r="A43" s="10" t="n"/>
      <c r="B43" s="10" t="n"/>
      <c r="C43" s="10" t="n"/>
      <c r="D43" s="10" t="n"/>
      <c r="E43" s="10" t="n"/>
      <c r="F43" s="10" t="n"/>
      <c r="G43" s="14">
        <f>IF(OR(D43="",E43="",F43=""),"",ROUND((D43+E43+F43)/45*100,2))</f>
        <v/>
      </c>
      <c r="H43" s="10" t="n"/>
      <c r="I43" s="15" t="n"/>
    </row>
    <row r="44">
      <c r="A44" s="10" t="n"/>
      <c r="B44" s="10" t="n"/>
      <c r="C44" s="10" t="n"/>
      <c r="D44" s="10" t="n"/>
      <c r="E44" s="10" t="n"/>
      <c r="F44" s="10" t="n"/>
      <c r="G44" s="14">
        <f>IF(OR(D44="",E44="",F44=""),"",ROUND((D44+E44+F44)/45*100,2))</f>
        <v/>
      </c>
      <c r="H44" s="10" t="n"/>
      <c r="I44" s="15" t="n"/>
    </row>
    <row r="45">
      <c r="A45" s="10" t="n"/>
      <c r="B45" s="10" t="n"/>
      <c r="C45" s="10" t="n"/>
      <c r="D45" s="10" t="n"/>
      <c r="E45" s="10" t="n"/>
      <c r="F45" s="10" t="n"/>
      <c r="G45" s="14">
        <f>IF(OR(D45="",E45="",F45=""),"",ROUND((D45+E45+F45)/45*100,2))</f>
        <v/>
      </c>
      <c r="H45" s="10" t="n"/>
      <c r="I45" s="15" t="n"/>
    </row>
    <row r="46">
      <c r="A46" s="10" t="n"/>
      <c r="B46" s="10" t="n"/>
      <c r="C46" s="10" t="n"/>
      <c r="D46" s="10" t="n"/>
      <c r="E46" s="10" t="n"/>
      <c r="F46" s="10" t="n"/>
      <c r="G46" s="14">
        <f>IF(OR(D46="",E46="",F46=""),"",ROUND((D46+E46+F46)/45*100,2))</f>
        <v/>
      </c>
      <c r="H46" s="10" t="n"/>
      <c r="I46" s="15" t="n"/>
    </row>
    <row r="47">
      <c r="A47" s="10" t="n"/>
      <c r="B47" s="10" t="n"/>
      <c r="C47" s="10" t="n"/>
      <c r="D47" s="10" t="n"/>
      <c r="E47" s="10" t="n"/>
      <c r="F47" s="10" t="n"/>
      <c r="G47" s="14">
        <f>IF(OR(D47="",E47="",F47=""),"",ROUND((D47+E47+F47)/45*100,2))</f>
        <v/>
      </c>
      <c r="H47" s="10" t="n"/>
      <c r="I47" s="15" t="n"/>
    </row>
    <row r="48">
      <c r="A48" s="10" t="n"/>
      <c r="B48" s="10" t="n"/>
      <c r="C48" s="10" t="n"/>
      <c r="D48" s="10" t="n"/>
      <c r="E48" s="10" t="n"/>
      <c r="F48" s="10" t="n"/>
      <c r="G48" s="14">
        <f>IF(OR(D48="",E48="",F48=""),"",ROUND((D48+E48+F48)/45*100,2))</f>
        <v/>
      </c>
      <c r="H48" s="10" t="n"/>
      <c r="I48" s="15" t="n"/>
    </row>
    <row r="49">
      <c r="A49" s="10" t="n"/>
      <c r="B49" s="10" t="n"/>
      <c r="C49" s="10" t="n"/>
      <c r="D49" s="10" t="n"/>
      <c r="E49" s="10" t="n"/>
      <c r="F49" s="10" t="n"/>
      <c r="G49" s="14">
        <f>IF(OR(D49="",E49="",F49=""),"",ROUND((D49+E49+F49)/45*100,2))</f>
        <v/>
      </c>
      <c r="H49" s="10" t="n"/>
      <c r="I49" s="15" t="n"/>
    </row>
    <row r="50">
      <c r="A50" s="10" t="n"/>
      <c r="B50" s="10" t="n"/>
      <c r="C50" s="10" t="n"/>
      <c r="D50" s="10" t="n"/>
      <c r="E50" s="10" t="n"/>
      <c r="F50" s="10" t="n"/>
      <c r="G50" s="14">
        <f>IF(OR(D50="",E50="",F50=""),"",ROUND((D50+E50+F50)/45*100,2))</f>
        <v/>
      </c>
      <c r="H50" s="10" t="n"/>
      <c r="I50" s="15" t="n"/>
    </row>
    <row r="51">
      <c r="A51" s="10" t="n"/>
      <c r="B51" s="10" t="n"/>
      <c r="C51" s="10" t="n"/>
      <c r="D51" s="10" t="n"/>
      <c r="E51" s="10" t="n"/>
      <c r="F51" s="10" t="n"/>
      <c r="G51" s="14">
        <f>IF(OR(D51="",E51="",F51=""),"",ROUND((D51+E51+F51)/45*100,2))</f>
        <v/>
      </c>
      <c r="H51" s="10" t="n"/>
      <c r="I51" s="15" t="n"/>
    </row>
    <row r="52">
      <c r="A52" s="10" t="n"/>
      <c r="B52" s="10" t="n"/>
      <c r="C52" s="10" t="n"/>
      <c r="D52" s="10" t="n"/>
      <c r="E52" s="10" t="n"/>
      <c r="F52" s="10" t="n"/>
      <c r="G52" s="14">
        <f>IF(OR(D52="",E52="",F52=""),"",ROUND((D52+E52+F52)/45*100,2))</f>
        <v/>
      </c>
      <c r="H52" s="10" t="n"/>
      <c r="I52" s="15" t="n"/>
    </row>
    <row r="53">
      <c r="A53" s="10" t="n"/>
      <c r="B53" s="10" t="n"/>
      <c r="C53" s="10" t="n"/>
      <c r="D53" s="10" t="n"/>
      <c r="E53" s="10" t="n"/>
      <c r="F53" s="10" t="n"/>
      <c r="G53" s="14">
        <f>IF(OR(D53="",E53="",F53=""),"",ROUND((D53+E53+F53)/45*100,2))</f>
        <v/>
      </c>
      <c r="H53" s="10" t="n"/>
      <c r="I53" s="15" t="n"/>
    </row>
    <row r="54">
      <c r="A54" s="10" t="n"/>
      <c r="B54" s="10" t="n"/>
      <c r="C54" s="10" t="n"/>
      <c r="D54" s="10" t="n"/>
      <c r="E54" s="10" t="n"/>
      <c r="F54" s="10" t="n"/>
      <c r="G54" s="14">
        <f>IF(OR(D54="",E54="",F54=""),"",ROUND((D54+E54+F54)/45*100,2))</f>
        <v/>
      </c>
      <c r="H54" s="10" t="n"/>
      <c r="I5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1" t="inlineStr">
        <is>
          <t>Tabella Livelli e XP Cumulativo (1–80)</t>
        </is>
      </c>
    </row>
    <row r="2">
      <c r="A2" t="inlineStr">
        <is>
          <t>Nota: i livelli 71–80 richiedono anche ricerche di salita di livello oltre all'XP.</t>
        </is>
      </c>
    </row>
    <row r="3">
      <c r="A3" s="8" t="inlineStr">
        <is>
          <t>Livello</t>
        </is>
      </c>
      <c r="B3" s="8" t="inlineStr">
        <is>
          <t>XP Cumulativo</t>
        </is>
      </c>
    </row>
    <row r="4">
      <c r="A4" s="11" t="n">
        <v>1</v>
      </c>
      <c r="B4" s="5" t="n">
        <v>0</v>
      </c>
    </row>
    <row r="5">
      <c r="A5" s="11" t="n">
        <v>2</v>
      </c>
      <c r="B5" s="5" t="n">
        <v>2500</v>
      </c>
    </row>
    <row r="6">
      <c r="A6" s="11" t="n">
        <v>3</v>
      </c>
      <c r="B6" s="5" t="n">
        <v>5500</v>
      </c>
    </row>
    <row r="7">
      <c r="A7" s="11" t="n">
        <v>4</v>
      </c>
      <c r="B7" s="5" t="n">
        <v>9000</v>
      </c>
    </row>
    <row r="8">
      <c r="A8" s="11" t="n">
        <v>5</v>
      </c>
      <c r="B8" s="5" t="n">
        <v>13000</v>
      </c>
    </row>
    <row r="9">
      <c r="A9" s="11" t="n">
        <v>6</v>
      </c>
      <c r="B9" s="5" t="n">
        <v>18000</v>
      </c>
    </row>
    <row r="10">
      <c r="A10" s="11" t="n">
        <v>7</v>
      </c>
      <c r="B10" s="5" t="n">
        <v>24000</v>
      </c>
    </row>
    <row r="11">
      <c r="A11" s="11" t="n">
        <v>8</v>
      </c>
      <c r="B11" s="5" t="n">
        <v>31000</v>
      </c>
    </row>
    <row r="12">
      <c r="A12" s="11" t="n">
        <v>9</v>
      </c>
      <c r="B12" s="5" t="n">
        <v>39000</v>
      </c>
    </row>
    <row r="13">
      <c r="A13" s="11" t="n">
        <v>10</v>
      </c>
      <c r="B13" s="5" t="n">
        <v>48000</v>
      </c>
    </row>
    <row r="14">
      <c r="A14" s="11" t="n">
        <v>11</v>
      </c>
      <c r="B14" s="5" t="n">
        <v>58000</v>
      </c>
    </row>
    <row r="15">
      <c r="A15" s="11" t="n">
        <v>12</v>
      </c>
      <c r="B15" s="5" t="n">
        <v>70000</v>
      </c>
    </row>
    <row r="16">
      <c r="A16" s="11" t="n">
        <v>13</v>
      </c>
      <c r="B16" s="5" t="n">
        <v>84000</v>
      </c>
    </row>
    <row r="17">
      <c r="A17" s="11" t="n">
        <v>14</v>
      </c>
      <c r="B17" s="5" t="n">
        <v>100000</v>
      </c>
    </row>
    <row r="18">
      <c r="A18" s="11" t="n">
        <v>15</v>
      </c>
      <c r="B18" s="5" t="n">
        <v>118000</v>
      </c>
    </row>
    <row r="19">
      <c r="A19" s="11" t="n">
        <v>16</v>
      </c>
      <c r="B19" s="5" t="n">
        <v>139000</v>
      </c>
    </row>
    <row r="20">
      <c r="A20" s="11" t="n">
        <v>17</v>
      </c>
      <c r="B20" s="5" t="n">
        <v>163500</v>
      </c>
    </row>
    <row r="21">
      <c r="A21" s="11" t="n">
        <v>18</v>
      </c>
      <c r="B21" s="5" t="n">
        <v>191500</v>
      </c>
    </row>
    <row r="22">
      <c r="A22" s="11" t="n">
        <v>19</v>
      </c>
      <c r="B22" s="5" t="n">
        <v>223000</v>
      </c>
    </row>
    <row r="23">
      <c r="A23" s="11" t="n">
        <v>20</v>
      </c>
      <c r="B23" s="5" t="n">
        <v>258000</v>
      </c>
    </row>
    <row r="24">
      <c r="A24" s="11" t="n">
        <v>21</v>
      </c>
      <c r="B24" s="5" t="n">
        <v>300000</v>
      </c>
    </row>
    <row r="25">
      <c r="A25" s="11" t="n">
        <v>22</v>
      </c>
      <c r="B25" s="5" t="n">
        <v>349000</v>
      </c>
    </row>
    <row r="26">
      <c r="A26" s="11" t="n">
        <v>23</v>
      </c>
      <c r="B26" s="5" t="n">
        <v>405000</v>
      </c>
    </row>
    <row r="27">
      <c r="A27" s="11" t="n">
        <v>24</v>
      </c>
      <c r="B27" s="5" t="n">
        <v>468000</v>
      </c>
    </row>
    <row r="28">
      <c r="A28" s="11" t="n">
        <v>25</v>
      </c>
      <c r="B28" s="5" t="n">
        <v>538000</v>
      </c>
    </row>
    <row r="29">
      <c r="A29" s="11" t="n">
        <v>26</v>
      </c>
      <c r="B29" s="5" t="n">
        <v>621000</v>
      </c>
    </row>
    <row r="30">
      <c r="A30" s="11" t="n">
        <v>27</v>
      </c>
      <c r="B30" s="5" t="n">
        <v>717000</v>
      </c>
    </row>
    <row r="31">
      <c r="A31" s="11" t="n">
        <v>28</v>
      </c>
      <c r="B31" s="5" t="n">
        <v>826000</v>
      </c>
    </row>
    <row r="32">
      <c r="A32" s="11" t="n">
        <v>29</v>
      </c>
      <c r="B32" s="5" t="n">
        <v>948000</v>
      </c>
    </row>
    <row r="33">
      <c r="A33" s="11" t="n">
        <v>30</v>
      </c>
      <c r="B33" s="5" t="n">
        <v>1083000</v>
      </c>
    </row>
    <row r="34">
      <c r="A34" s="11" t="n">
        <v>31</v>
      </c>
      <c r="B34" s="5" t="n">
        <v>1241000</v>
      </c>
    </row>
    <row r="35">
      <c r="A35" s="11" t="n">
        <v>32</v>
      </c>
      <c r="B35" s="5" t="n">
        <v>1422000</v>
      </c>
    </row>
    <row r="36">
      <c r="A36" s="11" t="n">
        <v>33</v>
      </c>
      <c r="B36" s="5" t="n">
        <v>1626000</v>
      </c>
    </row>
    <row r="37">
      <c r="A37" s="11" t="n">
        <v>34</v>
      </c>
      <c r="B37" s="5" t="n">
        <v>1853000</v>
      </c>
    </row>
    <row r="38">
      <c r="A38" s="11" t="n">
        <v>35</v>
      </c>
      <c r="B38" s="5" t="n">
        <v>2103000</v>
      </c>
    </row>
    <row r="39">
      <c r="A39" s="11" t="n">
        <v>36</v>
      </c>
      <c r="B39" s="5" t="n">
        <v>2393000</v>
      </c>
    </row>
    <row r="40">
      <c r="A40" s="11" t="n">
        <v>37</v>
      </c>
      <c r="B40" s="5" t="n">
        <v>2723000</v>
      </c>
    </row>
    <row r="41">
      <c r="A41" s="11" t="n">
        <v>38</v>
      </c>
      <c r="B41" s="5" t="n">
        <v>3093000</v>
      </c>
    </row>
    <row r="42">
      <c r="A42" s="11" t="n">
        <v>39</v>
      </c>
      <c r="B42" s="5" t="n">
        <v>3503000</v>
      </c>
    </row>
    <row r="43">
      <c r="A43" s="11" t="n">
        <v>40</v>
      </c>
      <c r="B43" s="5" t="n">
        <v>3953000</v>
      </c>
    </row>
    <row r="44">
      <c r="A44" s="11" t="n">
        <v>41</v>
      </c>
      <c r="B44" s="5" t="n">
        <v>4473000</v>
      </c>
    </row>
    <row r="45">
      <c r="A45" s="11" t="n">
        <v>42</v>
      </c>
      <c r="B45" s="5" t="n">
        <v>5063000</v>
      </c>
    </row>
    <row r="46">
      <c r="A46" s="11" t="n">
        <v>43</v>
      </c>
      <c r="B46" s="5" t="n">
        <v>5723000</v>
      </c>
    </row>
    <row r="47">
      <c r="A47" s="11" t="n">
        <v>44</v>
      </c>
      <c r="B47" s="5" t="n">
        <v>6453000</v>
      </c>
    </row>
    <row r="48">
      <c r="A48" s="11" t="n">
        <v>45</v>
      </c>
      <c r="B48" s="5" t="n">
        <v>7253000</v>
      </c>
    </row>
    <row r="49">
      <c r="A49" s="11" t="n">
        <v>46</v>
      </c>
      <c r="B49" s="5" t="n">
        <v>8153000</v>
      </c>
    </row>
    <row r="50">
      <c r="A50" s="11" t="n">
        <v>47</v>
      </c>
      <c r="B50" s="5" t="n">
        <v>9153000</v>
      </c>
    </row>
    <row r="51">
      <c r="A51" s="11" t="n">
        <v>48</v>
      </c>
      <c r="B51" s="5" t="n">
        <v>10253000</v>
      </c>
    </row>
    <row r="52">
      <c r="A52" s="11" t="n">
        <v>49</v>
      </c>
      <c r="B52" s="5" t="n">
        <v>11453000</v>
      </c>
    </row>
    <row r="53">
      <c r="A53" s="11" t="n">
        <v>50</v>
      </c>
      <c r="B53" s="5" t="n">
        <v>12753000</v>
      </c>
    </row>
    <row r="54">
      <c r="A54" s="11" t="n">
        <v>51</v>
      </c>
      <c r="B54" s="5" t="n">
        <v>14193000</v>
      </c>
    </row>
    <row r="55">
      <c r="A55" s="11" t="n">
        <v>52</v>
      </c>
      <c r="B55" s="5" t="n">
        <v>15773000</v>
      </c>
    </row>
    <row r="56">
      <c r="A56" s="11" t="n">
        <v>53</v>
      </c>
      <c r="B56" s="5" t="n">
        <v>17493000</v>
      </c>
    </row>
    <row r="57">
      <c r="A57" s="11" t="n">
        <v>54</v>
      </c>
      <c r="B57" s="5" t="n">
        <v>19353000</v>
      </c>
    </row>
    <row r="58">
      <c r="A58" s="11" t="n">
        <v>55</v>
      </c>
      <c r="B58" s="5" t="n">
        <v>21353000</v>
      </c>
    </row>
    <row r="59">
      <c r="A59" s="11" t="n">
        <v>56</v>
      </c>
      <c r="B59" s="5" t="n">
        <v>23553000</v>
      </c>
    </row>
    <row r="60">
      <c r="A60" s="11" t="n">
        <v>57</v>
      </c>
      <c r="B60" s="5" t="n">
        <v>25953000</v>
      </c>
    </row>
    <row r="61">
      <c r="A61" s="11" t="n">
        <v>58</v>
      </c>
      <c r="B61" s="5" t="n">
        <v>28553000</v>
      </c>
    </row>
    <row r="62">
      <c r="A62" s="11" t="n">
        <v>59</v>
      </c>
      <c r="B62" s="5" t="n">
        <v>31353000</v>
      </c>
    </row>
    <row r="63">
      <c r="A63" s="11" t="n">
        <v>60</v>
      </c>
      <c r="B63" s="5" t="n">
        <v>34353000</v>
      </c>
    </row>
    <row r="64">
      <c r="A64" s="11" t="n">
        <v>61</v>
      </c>
      <c r="B64" s="5" t="n">
        <v>37703000</v>
      </c>
    </row>
    <row r="65">
      <c r="A65" s="11" t="n">
        <v>62</v>
      </c>
      <c r="B65" s="5" t="n">
        <v>41403000</v>
      </c>
    </row>
    <row r="66">
      <c r="A66" s="11" t="n">
        <v>63</v>
      </c>
      <c r="B66" s="5" t="n">
        <v>45453000</v>
      </c>
    </row>
    <row r="67">
      <c r="A67" s="11" t="n">
        <v>64</v>
      </c>
      <c r="B67" s="5" t="n">
        <v>49853000</v>
      </c>
    </row>
    <row r="68">
      <c r="A68" s="11" t="n">
        <v>65</v>
      </c>
      <c r="B68" s="5" t="n">
        <v>54603000</v>
      </c>
    </row>
    <row r="69">
      <c r="A69" s="11" t="n">
        <v>66</v>
      </c>
      <c r="B69" s="5" t="n">
        <v>59853000</v>
      </c>
    </row>
    <row r="70">
      <c r="A70" s="11" t="n">
        <v>67</v>
      </c>
      <c r="B70" s="5" t="n">
        <v>65603000</v>
      </c>
    </row>
    <row r="71">
      <c r="A71" s="11" t="n">
        <v>68</v>
      </c>
      <c r="B71" s="5" t="n">
        <v>71853000</v>
      </c>
    </row>
    <row r="72">
      <c r="A72" s="11" t="n">
        <v>69</v>
      </c>
      <c r="B72" s="5" t="n">
        <v>78603000</v>
      </c>
    </row>
    <row r="73">
      <c r="A73" s="11" t="n">
        <v>70</v>
      </c>
      <c r="B73" s="5" t="n">
        <v>85853000</v>
      </c>
    </row>
    <row r="74">
      <c r="A74" s="11" t="n">
        <v>71</v>
      </c>
      <c r="B74" s="5" t="n">
        <v>93853000</v>
      </c>
    </row>
    <row r="75">
      <c r="A75" s="11" t="n">
        <v>72</v>
      </c>
      <c r="B75" s="5" t="n">
        <v>102603000</v>
      </c>
    </row>
    <row r="76">
      <c r="A76" s="11" t="n">
        <v>73</v>
      </c>
      <c r="B76" s="5" t="n">
        <v>112103000</v>
      </c>
    </row>
    <row r="77">
      <c r="A77" s="11" t="n">
        <v>74</v>
      </c>
      <c r="B77" s="5" t="n">
        <v>122353000</v>
      </c>
    </row>
    <row r="78">
      <c r="A78" s="11" t="n">
        <v>75</v>
      </c>
      <c r="B78" s="5" t="n">
        <v>133353000</v>
      </c>
    </row>
    <row r="79">
      <c r="A79" s="11" t="n">
        <v>76</v>
      </c>
      <c r="B79" s="5" t="n">
        <v>145353000</v>
      </c>
    </row>
    <row r="80">
      <c r="A80" s="11" t="n">
        <v>77</v>
      </c>
      <c r="B80" s="5" t="n">
        <v>158353000</v>
      </c>
    </row>
    <row r="81">
      <c r="A81" s="11" t="n">
        <v>78</v>
      </c>
      <c r="B81" s="5" t="n">
        <v>172353000</v>
      </c>
    </row>
    <row r="82">
      <c r="A82" s="11" t="n">
        <v>79</v>
      </c>
      <c r="B82" s="5" t="n">
        <v>187353000</v>
      </c>
    </row>
    <row r="83">
      <c r="A83" s="11" t="n">
        <v>80</v>
      </c>
      <c r="B83" s="5" t="n">
        <v>203353000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</cols>
  <sheetData>
    <row r="1">
      <c r="A1" s="1" t="inlineStr">
        <is>
          <t>Progresso Medaglie</t>
        </is>
      </c>
    </row>
    <row r="2">
      <c r="A2" t="inlineStr">
        <is>
          <t>Inserisci il progresso attuale. Tier e % verso il prossimo livello sono automatici.</t>
        </is>
      </c>
    </row>
    <row r="4">
      <c r="A4" s="8" t="inlineStr">
        <is>
          <t>Medaglia</t>
        </is>
      </c>
      <c r="B4" s="8" t="inlineStr">
        <is>
          <t>Descrizione</t>
        </is>
      </c>
      <c r="C4" s="8" t="inlineStr">
        <is>
          <t>Progresso</t>
        </is>
      </c>
      <c r="D4" s="8" t="inlineStr">
        <is>
          <t>Bronzo</t>
        </is>
      </c>
      <c r="E4" s="8" t="inlineStr">
        <is>
          <t>Argento</t>
        </is>
      </c>
      <c r="F4" s="8" t="inlineStr">
        <is>
          <t>Oro</t>
        </is>
      </c>
      <c r="G4" s="8" t="inlineStr">
        <is>
          <t>Platino</t>
        </is>
      </c>
      <c r="H4" s="8" t="inlineStr">
        <is>
          <t>Tier</t>
        </is>
      </c>
      <c r="I4" s="8" t="inlineStr">
        <is>
          <t>% Prossimo</t>
        </is>
      </c>
    </row>
    <row r="5">
      <c r="A5" s="3" t="inlineStr">
        <is>
          <t>Studente</t>
        </is>
      </c>
      <c r="B5" s="3" t="inlineStr">
        <is>
          <t>Tipo Normale</t>
        </is>
      </c>
      <c r="C5" s="4" t="n">
        <v>0</v>
      </c>
      <c r="D5" s="16" t="n">
        <v>10</v>
      </c>
      <c r="E5" s="16" t="n">
        <v>50</v>
      </c>
      <c r="F5" s="16" t="n">
        <v>200</v>
      </c>
      <c r="G5" s="16" t="n">
        <v>2500</v>
      </c>
      <c r="H5" s="7">
        <f>IF(C5&gt;=G5,"Platino",IF(C5&gt;=F5,"Oro",IF(C5&gt;=E5,"Argento",IF(C5&gt;=D5,"Bronzo","Nessuno"))))</f>
        <v/>
      </c>
      <c r="I5" s="6">
        <f>IF(C5&gt;=G5,100,IF(C5&gt;=F5,IF(G5=F5,100,(C5-F5)/(G5-F5)),IF(C5&gt;=E5,IF(F5=E5,100,(C5-E5)/(F5-E5)),IF(C5&gt;=D5,IF(E5=D5,100,(C5-D5)/(E5-D5)),IF(D5=0,0,C5/D5)))))</f>
        <v/>
      </c>
    </row>
    <row r="6">
      <c r="A6" s="3" t="inlineStr">
        <is>
          <t>Cintura Nera</t>
        </is>
      </c>
      <c r="B6" s="3" t="inlineStr">
        <is>
          <t>Tipo Lotta</t>
        </is>
      </c>
      <c r="C6" s="4" t="n">
        <v>0</v>
      </c>
      <c r="D6" s="16" t="n">
        <v>10</v>
      </c>
      <c r="E6" s="16" t="n">
        <v>50</v>
      </c>
      <c r="F6" s="16" t="n">
        <v>200</v>
      </c>
      <c r="G6" s="16" t="n">
        <v>2500</v>
      </c>
      <c r="H6" s="7">
        <f>IF(C6&gt;=G6,"Platino",IF(C6&gt;=F6,"Oro",IF(C6&gt;=E6,"Argento",IF(C6&gt;=D6,"Bronzo","Nessuno"))))</f>
        <v/>
      </c>
      <c r="I6" s="6">
        <f>IF(C6&gt;=G6,100,IF(C6&gt;=F6,IF(G6=F6,100,(C6-F6)/(G6-F6)),IF(C6&gt;=E6,IF(F6=E6,100,(C6-E6)/(F6-E6)),IF(C6&gt;=D6,IF(E6=D6,100,(C6-D6)/(E6-D6)),IF(D6=0,0,C6/D6)))))</f>
        <v/>
      </c>
    </row>
    <row r="7">
      <c r="A7" s="3" t="inlineStr">
        <is>
          <t>Avicoltore</t>
        </is>
      </c>
      <c r="B7" s="3" t="inlineStr">
        <is>
          <t>Tipo Volante</t>
        </is>
      </c>
      <c r="C7" s="4" t="n">
        <v>0</v>
      </c>
      <c r="D7" s="16" t="n">
        <v>10</v>
      </c>
      <c r="E7" s="16" t="n">
        <v>50</v>
      </c>
      <c r="F7" s="16" t="n">
        <v>200</v>
      </c>
      <c r="G7" s="16" t="n">
        <v>2500</v>
      </c>
      <c r="H7" s="7">
        <f>IF(C7&gt;=G7,"Platino",IF(C7&gt;=F7,"Oro",IF(C7&gt;=E7,"Argento",IF(C7&gt;=D7,"Bronzo","Nessuno"))))</f>
        <v/>
      </c>
      <c r="I7" s="6">
        <f>IF(C7&gt;=G7,100,IF(C7&gt;=F7,IF(G7=F7,100,(C7-F7)/(G7-F7)),IF(C7&gt;=E7,IF(F7=E7,100,(C7-E7)/(F7-E7)),IF(C7&gt;=D7,IF(E7=D7,100,(C7-D7)/(E7-D7)),IF(D7=0,0,C7/D7)))))</f>
        <v/>
      </c>
    </row>
    <row r="8">
      <c r="A8" s="3" t="inlineStr">
        <is>
          <t>Punk</t>
        </is>
      </c>
      <c r="B8" s="3" t="inlineStr">
        <is>
          <t>Tipo Veleno</t>
        </is>
      </c>
      <c r="C8" s="4" t="n">
        <v>0</v>
      </c>
      <c r="D8" s="16" t="n">
        <v>10</v>
      </c>
      <c r="E8" s="16" t="n">
        <v>50</v>
      </c>
      <c r="F8" s="16" t="n">
        <v>200</v>
      </c>
      <c r="G8" s="16" t="n">
        <v>2500</v>
      </c>
      <c r="H8" s="7">
        <f>IF(C8&gt;=G8,"Platino",IF(C8&gt;=F8,"Oro",IF(C8&gt;=E8,"Argento",IF(C8&gt;=D8,"Bronzo","Nessuno"))))</f>
        <v/>
      </c>
      <c r="I8" s="6">
        <f>IF(C8&gt;=G8,100,IF(C8&gt;=F8,IF(G8=F8,100,(C8-F8)/(G8-F8)),IF(C8&gt;=E8,IF(F8=E8,100,(C8-E8)/(F8-E8)),IF(C8&gt;=D8,IF(E8=D8,100,(C8-D8)/(E8-D8)),IF(D8=0,0,C8/D8)))))</f>
        <v/>
      </c>
    </row>
    <row r="9">
      <c r="A9" s="3" t="inlineStr">
        <is>
          <t>Archeologo</t>
        </is>
      </c>
      <c r="B9" s="3" t="inlineStr">
        <is>
          <t>Tipo Terra</t>
        </is>
      </c>
      <c r="C9" s="4" t="n">
        <v>0</v>
      </c>
      <c r="D9" s="16" t="n">
        <v>10</v>
      </c>
      <c r="E9" s="16" t="n">
        <v>50</v>
      </c>
      <c r="F9" s="16" t="n">
        <v>200</v>
      </c>
      <c r="G9" s="16" t="n">
        <v>2500</v>
      </c>
      <c r="H9" s="7">
        <f>IF(C9&gt;=G9,"Platino",IF(C9&gt;=F9,"Oro",IF(C9&gt;=E9,"Argento",IF(C9&gt;=D9,"Bronzo","Nessuno"))))</f>
        <v/>
      </c>
      <c r="I9" s="6">
        <f>IF(C9&gt;=G9,100,IF(C9&gt;=F9,IF(G9=F9,100,(C9-F9)/(G9-F9)),IF(C9&gt;=E9,IF(F9=E9,100,(C9-E9)/(F9-E9)),IF(C9&gt;=D9,IF(E9=D9,100,(C9-D9)/(E9-D9)),IF(D9=0,0,C9/D9)))))</f>
        <v/>
      </c>
    </row>
    <row r="10">
      <c r="A10" s="3" t="inlineStr">
        <is>
          <t>Alpinista</t>
        </is>
      </c>
      <c r="B10" s="3" t="inlineStr">
        <is>
          <t>Tipo Roccia</t>
        </is>
      </c>
      <c r="C10" s="4" t="n">
        <v>0</v>
      </c>
      <c r="D10" s="16" t="n">
        <v>10</v>
      </c>
      <c r="E10" s="16" t="n">
        <v>50</v>
      </c>
      <c r="F10" s="16" t="n">
        <v>200</v>
      </c>
      <c r="G10" s="16" t="n">
        <v>2500</v>
      </c>
      <c r="H10" s="7">
        <f>IF(C10&gt;=G10,"Platino",IF(C10&gt;=F10,"Oro",IF(C10&gt;=E10,"Argento",IF(C10&gt;=D10,"Bronzo","Nessuno"))))</f>
        <v/>
      </c>
      <c r="I10" s="6">
        <f>IF(C10&gt;=G10,100,IF(C10&gt;=F10,IF(G10=F10,100,(C10-F10)/(G10-F10)),IF(C10&gt;=E10,IF(F10=E10,100,(C10-E10)/(F10-E10)),IF(C10&gt;=D10,IF(E10=D10,100,(C10-D10)/(E10-D10)),IF(D10=0,0,C10/D10)))))</f>
        <v/>
      </c>
    </row>
    <row r="11">
      <c r="A11" s="3" t="inlineStr">
        <is>
          <t>Cacciabug</t>
        </is>
      </c>
      <c r="B11" s="3" t="inlineStr">
        <is>
          <t>Tipo Coleottero</t>
        </is>
      </c>
      <c r="C11" s="4" t="n">
        <v>0</v>
      </c>
      <c r="D11" s="16" t="n">
        <v>10</v>
      </c>
      <c r="E11" s="16" t="n">
        <v>50</v>
      </c>
      <c r="F11" s="16" t="n">
        <v>200</v>
      </c>
      <c r="G11" s="16" t="n">
        <v>2500</v>
      </c>
      <c r="H11" s="7">
        <f>IF(C11&gt;=G11,"Platino",IF(C11&gt;=F11,"Oro",IF(C11&gt;=E11,"Argento",IF(C11&gt;=D11,"Bronzo","Nessuno"))))</f>
        <v/>
      </c>
      <c r="I11" s="6">
        <f>IF(C11&gt;=G11,100,IF(C11&gt;=F11,IF(G11=F11,100,(C11-F11)/(G11-F11)),IF(C11&gt;=E11,IF(F11=E11,100,(C11-E11)/(F11-E11)),IF(C11&gt;=D11,IF(E11=D11,100,(C11-D11)/(E11-D11)),IF(D11=0,0,C11/D11)))))</f>
        <v/>
      </c>
    </row>
    <row r="12">
      <c r="A12" s="3" t="inlineStr">
        <is>
          <t>Stregone</t>
        </is>
      </c>
      <c r="B12" s="3" t="inlineStr">
        <is>
          <t>Tipo Spettro</t>
        </is>
      </c>
      <c r="C12" s="4" t="n">
        <v>0</v>
      </c>
      <c r="D12" s="16" t="n">
        <v>10</v>
      </c>
      <c r="E12" s="16" t="n">
        <v>50</v>
      </c>
      <c r="F12" s="16" t="n">
        <v>200</v>
      </c>
      <c r="G12" s="16" t="n">
        <v>2500</v>
      </c>
      <c r="H12" s="7">
        <f>IF(C12&gt;=G12,"Platino",IF(C12&gt;=F12,"Oro",IF(C12&gt;=E12,"Argento",IF(C12&gt;=D12,"Bronzo","Nessuno"))))</f>
        <v/>
      </c>
      <c r="I12" s="6">
        <f>IF(C12&gt;=G12,100,IF(C12&gt;=F12,IF(G12=F12,100,(C12-F12)/(G12-F12)),IF(C12&gt;=E12,IF(F12=E12,100,(C12-E12)/(F12-E12)),IF(C12&gt;=D12,IF(E12=D12,100,(C12-D12)/(E12-D12)),IF(D12=0,0,C12/D12)))))</f>
        <v/>
      </c>
    </row>
    <row r="13">
      <c r="A13" s="3" t="inlineStr">
        <is>
          <t>Spedizioniere</t>
        </is>
      </c>
      <c r="B13" s="3" t="inlineStr">
        <is>
          <t>Tipo Acciaio</t>
        </is>
      </c>
      <c r="C13" s="4" t="n">
        <v>0</v>
      </c>
      <c r="D13" s="16" t="n">
        <v>10</v>
      </c>
      <c r="E13" s="16" t="n">
        <v>50</v>
      </c>
      <c r="F13" s="16" t="n">
        <v>200</v>
      </c>
      <c r="G13" s="16" t="n">
        <v>2500</v>
      </c>
      <c r="H13" s="7">
        <f>IF(C13&gt;=G13,"Platino",IF(C13&gt;=F13,"Oro",IF(C13&gt;=E13,"Argento",IF(C13&gt;=D13,"Bronzo","Nessuno"))))</f>
        <v/>
      </c>
      <c r="I13" s="6">
        <f>IF(C13&gt;=G13,100,IF(C13&gt;=F13,IF(G13=F13,100,(C13-F13)/(G13-F13)),IF(C13&gt;=E13,IF(F13=E13,100,(C13-E13)/(F13-E13)),IF(C13&gt;=D13,IF(E13=D13,100,(C13-D13)/(E13-D13)),IF(D13=0,0,C13/D13)))))</f>
        <v/>
      </c>
    </row>
    <row r="14">
      <c r="A14" s="3" t="inlineStr">
        <is>
          <t>Accendino</t>
        </is>
      </c>
      <c r="B14" s="3" t="inlineStr">
        <is>
          <t>Tipo Fuoco</t>
        </is>
      </c>
      <c r="C14" s="4" t="n">
        <v>0</v>
      </c>
      <c r="D14" s="16" t="n">
        <v>10</v>
      </c>
      <c r="E14" s="16" t="n">
        <v>50</v>
      </c>
      <c r="F14" s="16" t="n">
        <v>200</v>
      </c>
      <c r="G14" s="16" t="n">
        <v>2500</v>
      </c>
      <c r="H14" s="7">
        <f>IF(C14&gt;=G14,"Platino",IF(C14&gt;=F14,"Oro",IF(C14&gt;=E14,"Argento",IF(C14&gt;=D14,"Bronzo","Nessuno"))))</f>
        <v/>
      </c>
      <c r="I14" s="6">
        <f>IF(C14&gt;=G14,100,IF(C14&gt;=F14,IF(G14=F14,100,(C14-F14)/(G14-F14)),IF(C14&gt;=E14,IF(F14=E14,100,(C14-E14)/(F14-E14)),IF(C14&gt;=D14,IF(E14=D14,100,(C14-D14)/(E14-D14)),IF(D14=0,0,C14/D14)))))</f>
        <v/>
      </c>
    </row>
    <row r="15">
      <c r="A15" s="3" t="inlineStr">
        <is>
          <t>Nuotatore</t>
        </is>
      </c>
      <c r="B15" s="3" t="inlineStr">
        <is>
          <t>Tipo Acqua</t>
        </is>
      </c>
      <c r="C15" s="4" t="n">
        <v>0</v>
      </c>
      <c r="D15" s="16" t="n">
        <v>10</v>
      </c>
      <c r="E15" s="16" t="n">
        <v>50</v>
      </c>
      <c r="F15" s="16" t="n">
        <v>200</v>
      </c>
      <c r="G15" s="16" t="n">
        <v>2500</v>
      </c>
      <c r="H15" s="7">
        <f>IF(C15&gt;=G15,"Platino",IF(C15&gt;=F15,"Oro",IF(C15&gt;=E15,"Argento",IF(C15&gt;=D15,"Bronzo","Nessuno"))))</f>
        <v/>
      </c>
      <c r="I15" s="6">
        <f>IF(C15&gt;=G15,100,IF(C15&gt;=F15,IF(G15=F15,100,(C15-F15)/(G15-F15)),IF(C15&gt;=E15,IF(F15=E15,100,(C15-E15)/(F15-E15)),IF(C15&gt;=D15,IF(E15=D15,100,(C15-D15)/(E15-D15)),IF(D15=0,0,C15/D15)))))</f>
        <v/>
      </c>
    </row>
    <row r="16">
      <c r="A16" s="3" t="inlineStr">
        <is>
          <t>Giardiniere</t>
        </is>
      </c>
      <c r="B16" s="3" t="inlineStr">
        <is>
          <t>Tipo Erba</t>
        </is>
      </c>
      <c r="C16" s="4" t="n">
        <v>0</v>
      </c>
      <c r="D16" s="16" t="n">
        <v>10</v>
      </c>
      <c r="E16" s="16" t="n">
        <v>50</v>
      </c>
      <c r="F16" s="16" t="n">
        <v>200</v>
      </c>
      <c r="G16" s="16" t="n">
        <v>2500</v>
      </c>
      <c r="H16" s="7">
        <f>IF(C16&gt;=G16,"Platino",IF(C16&gt;=F16,"Oro",IF(C16&gt;=E16,"Argento",IF(C16&gt;=D16,"Bronzo","Nessuno"))))</f>
        <v/>
      </c>
      <c r="I16" s="6">
        <f>IF(C16&gt;=G16,100,IF(C16&gt;=F16,IF(G16=F16,100,(C16-F16)/(G16-F16)),IF(C16&gt;=E16,IF(F16=E16,100,(C16-E16)/(F16-E16)),IF(C16&gt;=D16,IF(E16=D16,100,(C16-D16)/(E16-D16)),IF(D16=0,0,C16/D16)))))</f>
        <v/>
      </c>
    </row>
    <row r="17">
      <c r="A17" s="3" t="inlineStr">
        <is>
          <t>Chitarrista</t>
        </is>
      </c>
      <c r="B17" s="3" t="inlineStr">
        <is>
          <t>Tipo Elettro</t>
        </is>
      </c>
      <c r="C17" s="4" t="n">
        <v>0</v>
      </c>
      <c r="D17" s="16" t="n">
        <v>10</v>
      </c>
      <c r="E17" s="16" t="n">
        <v>50</v>
      </c>
      <c r="F17" s="16" t="n">
        <v>200</v>
      </c>
      <c r="G17" s="16" t="n">
        <v>2500</v>
      </c>
      <c r="H17" s="7">
        <f>IF(C17&gt;=G17,"Platino",IF(C17&gt;=F17,"Oro",IF(C17&gt;=E17,"Argento",IF(C17&gt;=D17,"Bronzo","Nessuno"))))</f>
        <v/>
      </c>
      <c r="I17" s="6">
        <f>IF(C17&gt;=G17,100,IF(C17&gt;=F17,IF(G17=F17,100,(C17-F17)/(G17-F17)),IF(C17&gt;=E17,IF(F17=E17,100,(C17-E17)/(F17-E17)),IF(C17&gt;=D17,IF(E17=D17,100,(C17-D17)/(E17-D17)),IF(D17=0,0,C17/D17)))))</f>
        <v/>
      </c>
    </row>
    <row r="18">
      <c r="A18" s="3" t="inlineStr">
        <is>
          <t>Sensitivo</t>
        </is>
      </c>
      <c r="B18" s="3" t="inlineStr">
        <is>
          <t>Tipo Psico</t>
        </is>
      </c>
      <c r="C18" s="4" t="n">
        <v>0</v>
      </c>
      <c r="D18" s="16" t="n">
        <v>10</v>
      </c>
      <c r="E18" s="16" t="n">
        <v>50</v>
      </c>
      <c r="F18" s="16" t="n">
        <v>200</v>
      </c>
      <c r="G18" s="16" t="n">
        <v>2500</v>
      </c>
      <c r="H18" s="7">
        <f>IF(C18&gt;=G18,"Platino",IF(C18&gt;=F18,"Oro",IF(C18&gt;=E18,"Argento",IF(C18&gt;=D18,"Bronzo","Nessuno"))))</f>
        <v/>
      </c>
      <c r="I18" s="6">
        <f>IF(C18&gt;=G18,100,IF(C18&gt;=F18,IF(G18=F18,100,(C18-F18)/(G18-F18)),IF(C18&gt;=E18,IF(F18=E18,100,(C18-E18)/(F18-E18)),IF(C18&gt;=D18,IF(E18=D18,100,(C18-D18)/(E18-D18)),IF(D18=0,0,C18/D18)))))</f>
        <v/>
      </c>
    </row>
    <row r="19">
      <c r="A19" s="3" t="inlineStr">
        <is>
          <t>Sciatore</t>
        </is>
      </c>
      <c r="B19" s="3" t="inlineStr">
        <is>
          <t>Tipo Ghiaccio</t>
        </is>
      </c>
      <c r="C19" s="4" t="n">
        <v>0</v>
      </c>
      <c r="D19" s="16" t="n">
        <v>10</v>
      </c>
      <c r="E19" s="16" t="n">
        <v>50</v>
      </c>
      <c r="F19" s="16" t="n">
        <v>200</v>
      </c>
      <c r="G19" s="16" t="n">
        <v>2500</v>
      </c>
      <c r="H19" s="7">
        <f>IF(C19&gt;=G19,"Platino",IF(C19&gt;=F19,"Oro",IF(C19&gt;=E19,"Argento",IF(C19&gt;=D19,"Bronzo","Nessuno"))))</f>
        <v/>
      </c>
      <c r="I19" s="6">
        <f>IF(C19&gt;=G19,100,IF(C19&gt;=F19,IF(G19=F19,100,(C19-F19)/(G19-F19)),IF(C19&gt;=E19,IF(F19=E19,100,(C19-E19)/(F19-E19)),IF(C19&gt;=D19,IF(E19=D19,100,(C19-D19)/(E19-D19)),IF(D19=0,0,C19/D19)))))</f>
        <v/>
      </c>
    </row>
    <row r="20">
      <c r="A20" s="3" t="inlineStr">
        <is>
          <t>Domatore</t>
        </is>
      </c>
      <c r="B20" s="3" t="inlineStr">
        <is>
          <t>Tipo Drago</t>
        </is>
      </c>
      <c r="C20" s="4" t="n">
        <v>0</v>
      </c>
      <c r="D20" s="16" t="n">
        <v>10</v>
      </c>
      <c r="E20" s="16" t="n">
        <v>50</v>
      </c>
      <c r="F20" s="16" t="n">
        <v>200</v>
      </c>
      <c r="G20" s="16" t="n">
        <v>2500</v>
      </c>
      <c r="H20" s="7">
        <f>IF(C20&gt;=G20,"Platino",IF(C20&gt;=F20,"Oro",IF(C20&gt;=E20,"Argento",IF(C20&gt;=D20,"Bronzo","Nessuno"))))</f>
        <v/>
      </c>
      <c r="I20" s="6">
        <f>IF(C20&gt;=G20,100,IF(C20&gt;=F20,IF(G20=F20,100,(C20-F20)/(G20-F20)),IF(C20&gt;=E20,IF(F20=E20,100,(C20-E20)/(F20-E20)),IF(C20&gt;=D20,IF(E20=D20,100,(C20-D20)/(E20-D20)),IF(D20=0,0,C20/D20)))))</f>
        <v/>
      </c>
    </row>
    <row r="21">
      <c r="A21" s="3" t="inlineStr">
        <is>
          <t>Fata</t>
        </is>
      </c>
      <c r="B21" s="3" t="inlineStr">
        <is>
          <t>Tipo Folletto</t>
        </is>
      </c>
      <c r="C21" s="4" t="n">
        <v>0</v>
      </c>
      <c r="D21" s="16" t="n">
        <v>10</v>
      </c>
      <c r="E21" s="16" t="n">
        <v>50</v>
      </c>
      <c r="F21" s="16" t="n">
        <v>200</v>
      </c>
      <c r="G21" s="16" t="n">
        <v>2500</v>
      </c>
      <c r="H21" s="7">
        <f>IF(C21&gt;=G21,"Platino",IF(C21&gt;=F21,"Oro",IF(C21&gt;=E21,"Argento",IF(C21&gt;=D21,"Bronzo","Nessuno"))))</f>
        <v/>
      </c>
      <c r="I21" s="6">
        <f>IF(C21&gt;=G21,100,IF(C21&gt;=F21,IF(G21=F21,100,(C21-F21)/(G21-F21)),IF(C21&gt;=E21,IF(F21=E21,100,(C21-E21)/(F21-E21)),IF(C21&gt;=D21,IF(E21=D21,100,(C21-D21)/(E21-D21)),IF(D21=0,0,C21/D21)))))</f>
        <v/>
      </c>
    </row>
    <row r="22">
      <c r="A22" s="3" t="inlineStr">
        <is>
          <t>Delinquente</t>
        </is>
      </c>
      <c r="B22" s="3" t="inlineStr">
        <is>
          <t>Tipo Buio</t>
        </is>
      </c>
      <c r="C22" s="4" t="n">
        <v>0</v>
      </c>
      <c r="D22" s="16" t="n">
        <v>10</v>
      </c>
      <c r="E22" s="16" t="n">
        <v>50</v>
      </c>
      <c r="F22" s="16" t="n">
        <v>200</v>
      </c>
      <c r="G22" s="16" t="n">
        <v>2500</v>
      </c>
      <c r="H22" s="7">
        <f>IF(C22&gt;=G22,"Platino",IF(C22&gt;=F22,"Oro",IF(C22&gt;=E22,"Argento",IF(C22&gt;=D22,"Bronzo","Nessuno"))))</f>
        <v/>
      </c>
      <c r="I22" s="6">
        <f>IF(C22&gt;=G22,100,IF(C22&gt;=F22,IF(G22=F22,100,(C22-F22)/(G22-F22)),IF(C22&gt;=E22,IF(F22=E22,100,(C22-E22)/(F22-E22)),IF(C22&gt;=D22,IF(E22=D22,100,(C22-D22)/(E22-D22)),IF(D22=0,0,C22/D22)))))</f>
        <v/>
      </c>
    </row>
    <row r="23">
      <c r="A23" s="3" t="inlineStr">
        <is>
          <t>Collezionista</t>
        </is>
      </c>
      <c r="B23" s="3" t="inlineStr">
        <is>
          <t>Pokémon unici catturati</t>
        </is>
      </c>
      <c r="C23" s="4" t="n">
        <v>0</v>
      </c>
      <c r="D23" s="16" t="n">
        <v>30</v>
      </c>
      <c r="E23" s="16" t="n">
        <v>500</v>
      </c>
      <c r="F23" s="16" t="n">
        <v>2000</v>
      </c>
      <c r="G23" s="16" t="n">
        <v>50000</v>
      </c>
      <c r="H23" s="7">
        <f>IF(C23&gt;=G23,"Platino",IF(C23&gt;=F23,"Oro",IF(C23&gt;=E23,"Argento",IF(C23&gt;=D23,"Bronzo","Nessuno"))))</f>
        <v/>
      </c>
      <c r="I23" s="6">
        <f>IF(C23&gt;=G23,100,IF(C23&gt;=F23,IF(G23=F23,100,(C23-F23)/(G23-F23)),IF(C23&gt;=E23,IF(F23=E23,100,(C23-E23)/(F23-E23)),IF(C23&gt;=D23,IF(E23=D23,100,(C23-D23)/(E23-D23)),IF(D23=0,0,C23/D23)))))</f>
        <v/>
      </c>
    </row>
    <row r="24">
      <c r="A24" s="3" t="inlineStr">
        <is>
          <t>Podista</t>
        </is>
      </c>
      <c r="B24" s="3" t="inlineStr">
        <is>
          <t>Km percorsi</t>
        </is>
      </c>
      <c r="C24" s="4" t="n">
        <v>0</v>
      </c>
      <c r="D24" s="16" t="n">
        <v>10</v>
      </c>
      <c r="E24" s="16" t="n">
        <v>26.2</v>
      </c>
      <c r="F24" s="16" t="n">
        <v>1000</v>
      </c>
      <c r="G24" s="16" t="n">
        <v>2500</v>
      </c>
      <c r="H24" s="7">
        <f>IF(C24&gt;=G24,"Platino",IF(C24&gt;=F24,"Oro",IF(C24&gt;=E24,"Argento",IF(C24&gt;=D24,"Bronzo","Nessuno"))))</f>
        <v/>
      </c>
      <c r="I24" s="6">
        <f>IF(C24&gt;=G24,100,IF(C24&gt;=F24,IF(G24=F24,100,(C24-F24)/(G24-F24)),IF(C24&gt;=E24,IF(F24=E24,100,(C24-E24)/(F24-E24)),IF(C24&gt;=D24,IF(E24=D24,100,(C24-D24)/(E24-D24)),IF(D24=0,0,C24/D24)))))</f>
        <v/>
      </c>
    </row>
    <row r="25">
      <c r="A25" s="3" t="inlineStr">
        <is>
          <t>Scienziato</t>
        </is>
      </c>
      <c r="B25" s="3" t="inlineStr">
        <is>
          <t>Evoluzioni</t>
        </is>
      </c>
      <c r="C25" s="4" t="n">
        <v>0</v>
      </c>
      <c r="D25" s="16" t="n">
        <v>3</v>
      </c>
      <c r="E25" s="16" t="n">
        <v>20</v>
      </c>
      <c r="F25" s="16" t="n">
        <v>200</v>
      </c>
      <c r="G25" s="16" t="n">
        <v>2500</v>
      </c>
      <c r="H25" s="7">
        <f>IF(C25&gt;=G25,"Platino",IF(C25&gt;=F25,"Oro",IF(C25&gt;=E25,"Argento",IF(C25&gt;=D25,"Bronzo","Nessuno"))))</f>
        <v/>
      </c>
      <c r="I25" s="6">
        <f>IF(C25&gt;=G25,100,IF(C25&gt;=F25,IF(G25=F25,100,(C25-F25)/(G25-F25)),IF(C25&gt;=E25,IF(F25=E25,100,(C25-E25)/(F25-E25)),IF(C25&gt;=D25,IF(E25=D25,100,(C25-D25)/(E25-D25)),IF(D25=0,0,C25/D25)))))</f>
        <v/>
      </c>
    </row>
    <row r="26">
      <c r="A26" s="3" t="inlineStr">
        <is>
          <t>Allevatore</t>
        </is>
      </c>
      <c r="B26" s="3" t="inlineStr">
        <is>
          <t>Uova schiuse</t>
        </is>
      </c>
      <c r="C26" s="4" t="n">
        <v>0</v>
      </c>
      <c r="D26" s="16" t="n">
        <v>10</v>
      </c>
      <c r="E26" s="16" t="n">
        <v>100</v>
      </c>
      <c r="F26" s="16" t="n">
        <v>500</v>
      </c>
      <c r="G26" s="16" t="n">
        <v>2500</v>
      </c>
      <c r="H26" s="7">
        <f>IF(C26&gt;=G26,"Platino",IF(C26&gt;=F26,"Oro",IF(C26&gt;=E26,"Argento",IF(C26&gt;=D26,"Bronzo","Nessuno"))))</f>
        <v/>
      </c>
      <c r="I26" s="6">
        <f>IF(C26&gt;=G26,100,IF(C26&gt;=F26,IF(G26=F26,100,(C26-F26)/(G26-F26)),IF(C26&gt;=E26,IF(F26=E26,100,(C26-E26)/(F26-E26)),IF(C26&gt;=D26,IF(E26=D26,100,(C26-D26)/(E26-D26)),IF(D26=0,0,C26/D26)))))</f>
        <v/>
      </c>
    </row>
    <row r="27">
      <c r="A27" s="3" t="inlineStr">
        <is>
          <t>Combattente</t>
        </is>
      </c>
      <c r="B27" s="3" t="inlineStr">
        <is>
          <t>Battaglie in palestra vinte</t>
        </is>
      </c>
      <c r="C27" s="4" t="n">
        <v>0</v>
      </c>
      <c r="D27" s="16" t="n">
        <v>10</v>
      </c>
      <c r="E27" s="16" t="n">
        <v>100</v>
      </c>
      <c r="F27" s="16" t="n">
        <v>1000</v>
      </c>
      <c r="G27" s="16" t="n">
        <v>4000</v>
      </c>
      <c r="H27" s="7">
        <f>IF(C27&gt;=G27,"Platino",IF(C27&gt;=F27,"Oro",IF(C27&gt;=E27,"Argento",IF(C27&gt;=D27,"Bronzo","Nessuno"))))</f>
        <v/>
      </c>
      <c r="I27" s="6">
        <f>IF(C27&gt;=G27,100,IF(C27&gt;=F27,IF(G27=F27,100,(C27-F27)/(G27-F27)),IF(C27&gt;=E27,IF(F27=E27,100,(C27-E27)/(F27-E27)),IF(C27&gt;=D27,IF(E27=D27,100,(C27-D27)/(E27-D27)),IF(D27=0,0,C27/D27)))))</f>
        <v/>
      </c>
    </row>
    <row r="28">
      <c r="A28" s="3" t="inlineStr">
        <is>
          <t>Gentiluomo</t>
        </is>
      </c>
      <c r="B28" s="3" t="inlineStr">
        <is>
          <t>Raid vinti</t>
        </is>
      </c>
      <c r="C28" s="4" t="n">
        <v>0</v>
      </c>
      <c r="D28" s="16" t="n">
        <v>10</v>
      </c>
      <c r="E28" s="16" t="n">
        <v>100</v>
      </c>
      <c r="F28" s="16" t="n">
        <v>1000</v>
      </c>
      <c r="G28" s="16" t="n">
        <v>2500</v>
      </c>
      <c r="H28" s="7">
        <f>IF(C28&gt;=G28,"Platino",IF(C28&gt;=F28,"Oro",IF(C28&gt;=E28,"Argento",IF(C28&gt;=D28,"Bronzo","Nessuno"))))</f>
        <v/>
      </c>
      <c r="I28" s="6">
        <f>IF(C28&gt;=G28,100,IF(C28&gt;=F28,IF(G28=F28,100,(C28-F28)/(G28-F28)),IF(C28&gt;=E28,IF(F28=E28,100,(C28-E28)/(F28-E28)),IF(C28&gt;=D28,IF(E28=D28,100,(C28-D28)/(E28-D28)),IF(D28=0,0,C28/D28)))))</f>
        <v/>
      </c>
    </row>
    <row r="29">
      <c r="A29" s="3" t="inlineStr">
        <is>
          <t>Idolo</t>
        </is>
      </c>
      <c r="B29" s="3" t="inlineStr">
        <is>
          <t>Raid leggendari vinti</t>
        </is>
      </c>
      <c r="C29" s="4" t="n">
        <v>0</v>
      </c>
      <c r="D29" s="16" t="n">
        <v>2</v>
      </c>
      <c r="E29" s="16" t="n">
        <v>10</v>
      </c>
      <c r="F29" s="16" t="n">
        <v>50</v>
      </c>
      <c r="G29" s="16" t="n">
        <v>100</v>
      </c>
      <c r="H29" s="7">
        <f>IF(C29&gt;=G29,"Platino",IF(C29&gt;=F29,"Oro",IF(C29&gt;=E29,"Argento",IF(C29&gt;=D29,"Bronzo","Nessuno"))))</f>
        <v/>
      </c>
      <c r="I29" s="6">
        <f>IF(C29&gt;=G29,100,IF(C29&gt;=F29,IF(G29=F29,100,(C29-F29)/(G29-F29)),IF(C29&gt;=E29,IF(F29=E29,100,(C29-E29)/(F29-E29)),IF(C29&gt;=D29,IF(E29=D29,100,(C29-D29)/(E29-D29)),IF(D29=0,0,C29/D29)))))</f>
        <v/>
      </c>
    </row>
    <row r="30">
      <c r="A30" s="3" t="inlineStr">
        <is>
          <t>Campione</t>
        </is>
      </c>
      <c r="B30" s="3" t="inlineStr">
        <is>
          <t>Raid leggendari vinti</t>
        </is>
      </c>
      <c r="C30" s="4" t="n">
        <v>0</v>
      </c>
      <c r="D30" s="16" t="n">
        <v>10</v>
      </c>
      <c r="E30" s="16" t="n">
        <v>100</v>
      </c>
      <c r="F30" s="16" t="n">
        <v>250</v>
      </c>
      <c r="G30" s="16" t="n">
        <v>1000</v>
      </c>
      <c r="H30" s="7">
        <f>IF(C30&gt;=G30,"Platino",IF(C30&gt;=F30,"Oro",IF(C30&gt;=E30,"Argento",IF(C30&gt;=D30,"Bronzo","Nessuno"))))</f>
        <v/>
      </c>
      <c r="I30" s="6">
        <f>IF(C30&gt;=G30,100,IF(C30&gt;=F30,IF(G30=F30,100,(C30-F30)/(G30-F30)),IF(C30&gt;=E30,IF(F30=E30,100,(C30-E30)/(F30-E30)),IF(C30&gt;=D30,IF(E30=D30,100,(C30-D30)/(E30-D30)),IF(D30=0,0,C30/D30)))))</f>
        <v/>
      </c>
    </row>
    <row r="31">
      <c r="A31" s="3" t="inlineStr">
        <is>
          <t>Esperto Bacche</t>
        </is>
      </c>
      <c r="B31" s="3" t="inlineStr">
        <is>
          <t>Bacche date</t>
        </is>
      </c>
      <c r="C31" s="4" t="n">
        <v>0</v>
      </c>
      <c r="D31" s="16" t="n">
        <v>10</v>
      </c>
      <c r="E31" s="16" t="n">
        <v>100</v>
      </c>
      <c r="F31" s="16" t="n">
        <v>1000</v>
      </c>
      <c r="G31" s="16" t="n">
        <v>15000</v>
      </c>
      <c r="H31" s="7">
        <f>IF(C31&gt;=G31,"Platino",IF(C31&gt;=F31,"Oro",IF(C31&gt;=E31,"Argento",IF(C31&gt;=D31,"Bronzo","Nessuno"))))</f>
        <v/>
      </c>
      <c r="I31" s="6">
        <f>IF(C31&gt;=G31,100,IF(C31&gt;=F31,IF(G31=F31,100,(C31-F31)/(G31-F31)),IF(C31&gt;=E31,IF(F31=E31,100,(C31-E31)/(F31-E31)),IF(C31&gt;=D31,IF(E31=D31,100,(C31-D31)/(E31-D31)),IF(D31=0,0,C31/D31)))))</f>
        <v/>
      </c>
    </row>
    <row r="32">
      <c r="A32" s="3" t="inlineStr">
        <is>
          <t>Gamer</t>
        </is>
      </c>
      <c r="B32" s="3" t="inlineStr">
        <is>
          <t>Curveball</t>
        </is>
      </c>
      <c r="C32" s="4" t="n">
        <v>0</v>
      </c>
      <c r="D32" s="16" t="n">
        <v>1000</v>
      </c>
      <c r="E32" s="16" t="n">
        <v>100000</v>
      </c>
      <c r="F32" s="16" t="n">
        <v>1000000</v>
      </c>
      <c r="G32" s="16" t="n">
        <v>2000000</v>
      </c>
      <c r="H32" s="7">
        <f>IF(C32&gt;=G32,"Platino",IF(C32&gt;=F32,"Oro",IF(C32&gt;=E32,"Argento",IF(C32&gt;=D32,"Bronzo","Nessuno"))))</f>
        <v/>
      </c>
      <c r="I32" s="6">
        <f>IF(C32&gt;=G32,100,IF(C32&gt;=F32,IF(G32=F32,100,(C32-F32)/(G32-F32)),IF(C32&gt;=E32,IF(F32=E32,100,(C32-E32)/(F32-E32)),IF(C32&gt;=D32,IF(E32=D32,100,(C32-D32)/(E32-D32)),IF(D32=0,0,C32/D32)))))</f>
        <v/>
      </c>
    </row>
    <row r="33">
      <c r="A33" s="3" t="inlineStr">
        <is>
          <t>Fotografo</t>
        </is>
      </c>
      <c r="B33" s="3" t="inlineStr">
        <is>
          <t>Foto scattate</t>
        </is>
      </c>
      <c r="C33" s="4" t="n">
        <v>0</v>
      </c>
      <c r="D33" s="16" t="n">
        <v>10</v>
      </c>
      <c r="E33" s="16" t="n">
        <v>50</v>
      </c>
      <c r="F33" s="16" t="n">
        <v>200</v>
      </c>
      <c r="G33" s="16" t="n">
        <v>2500</v>
      </c>
      <c r="H33" s="7">
        <f>IF(C33&gt;=G33,"Platino",IF(C33&gt;=F33,"Oro",IF(C33&gt;=E33,"Argento",IF(C33&gt;=D33,"Bronzo","Nessuno"))))</f>
        <v/>
      </c>
      <c r="I33" s="6">
        <f>IF(C33&gt;=G33,100,IF(C33&gt;=F33,IF(G33=F33,100,(C33-F33)/(G33-F33)),IF(C33&gt;=E33,IF(F33=E33,100,(C33-E33)/(F33-E33)),IF(C33&gt;=D33,IF(E33=D33,100,(C33-D33)/(E33-D33)),IF(D33=0,0,C33/D33)))))</f>
        <v/>
      </c>
    </row>
    <row r="34">
      <c r="A34" s="3" t="inlineStr">
        <is>
          <t>Giovanotto</t>
        </is>
      </c>
      <c r="B34" s="3" t="inlineStr">
        <is>
          <t>Pokémon minuscoli</t>
        </is>
      </c>
      <c r="C34" s="4" t="n">
        <v>0</v>
      </c>
      <c r="D34" s="16" t="n">
        <v>3</v>
      </c>
      <c r="E34" s="16" t="n">
        <v>50</v>
      </c>
      <c r="F34" s="16" t="n">
        <v>300</v>
      </c>
      <c r="G34" s="16" t="n">
        <v>1000</v>
      </c>
      <c r="H34" s="7">
        <f>IF(C34&gt;=G34,"Platino",IF(C34&gt;=F34,"Oro",IF(C34&gt;=E34,"Argento",IF(C34&gt;=D34,"Bronzo","Nessuno"))))</f>
        <v/>
      </c>
      <c r="I34" s="6">
        <f>IF(C34&gt;=G34,100,IF(C34&gt;=F34,IF(G34=F34,100,(C34-F34)/(G34-F34)),IF(C34&gt;=E34,IF(F34=E34,100,(C34-E34)/(F34-E34)),IF(C34&gt;=D34,IF(E34=D34,100,(C34-D34)/(E34-D34)),IF(D34=0,0,C34/D34)))))</f>
        <v/>
      </c>
    </row>
    <row r="35">
      <c r="A35" s="3" t="inlineStr">
        <is>
          <t>Pescatore</t>
        </is>
      </c>
      <c r="B35" s="3" t="inlineStr">
        <is>
          <t>Pokémon enormi</t>
        </is>
      </c>
      <c r="C35" s="4" t="n">
        <v>0</v>
      </c>
      <c r="D35" s="16" t="n">
        <v>3</v>
      </c>
      <c r="E35" s="16" t="n">
        <v>50</v>
      </c>
      <c r="F35" s="16" t="n">
        <v>300</v>
      </c>
      <c r="G35" s="16" t="n">
        <v>1000</v>
      </c>
      <c r="H35" s="7">
        <f>IF(C35&gt;=G35,"Platino",IF(C35&gt;=F35,"Oro",IF(C35&gt;=E35,"Argento",IF(C35&gt;=D35,"Bronzo","Nessuno"))))</f>
        <v/>
      </c>
      <c r="I35" s="6">
        <f>IF(C35&gt;=G35,100,IF(C35&gt;=F35,IF(G35=F35,100,(C35-F35)/(G35-F35)),IF(C35&gt;=E35,IF(F35=E35,100,(C35-E35)/(F35-E35)),IF(C35&gt;=D35,IF(E35=D35,100,(C35-D35)/(E35-D35)),IF(D35=0,0,C35/D35)))))</f>
        <v/>
      </c>
    </row>
    <row r="36">
      <c r="A36" s="3" t="inlineStr">
        <is>
          <t>Asso</t>
        </is>
      </c>
      <c r="B36" s="3" t="inlineStr">
        <is>
          <t>Sessioni di addestramento</t>
        </is>
      </c>
      <c r="C36" s="4" t="n">
        <v>0</v>
      </c>
      <c r="D36" s="16" t="n">
        <v>10</v>
      </c>
      <c r="E36" s="16" t="n">
        <v>100</v>
      </c>
      <c r="F36" s="16" t="n">
        <v>1000</v>
      </c>
      <c r="G36" s="16" t="n">
        <v>2000</v>
      </c>
      <c r="H36" s="7">
        <f>IF(C36&gt;=G36,"Platino",IF(C36&gt;=F36,"Oro",IF(C36&gt;=E36,"Argento",IF(C36&gt;=D36,"Bronzo","Nessuno"))))</f>
        <v/>
      </c>
      <c r="I36" s="6">
        <f>IF(C36&gt;=G36,100,IF(C36&gt;=F36,IF(G36=F36,100,(C36-F36)/(G36-F36)),IF(C36&gt;=E36,IF(F36=E36,100,(C36-E36)/(F36-E36)),IF(C36&gt;=D36,IF(E36=D36,100,(C36-D36)/(E36-D36)),IF(D36=0,0,C36/D36)))))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Battaglie e Buddy</t>
        </is>
      </c>
    </row>
    <row r="3">
      <c r="A3" s="2" t="inlineStr">
        <is>
          <t>RAID</t>
        </is>
      </c>
    </row>
    <row r="4">
      <c r="A4" s="3" t="inlineStr">
        <is>
          <t>Vittorie</t>
        </is>
      </c>
      <c r="B4" s="10" t="n">
        <v>0</v>
      </c>
    </row>
    <row r="5">
      <c r="A5" s="3" t="inlineStr">
        <is>
          <t>Sconfitte</t>
        </is>
      </c>
      <c r="B5" s="10" t="n">
        <v>0</v>
      </c>
    </row>
    <row r="6">
      <c r="A6" s="17" t="inlineStr">
        <is>
          <t>Win Rate</t>
        </is>
      </c>
      <c r="B6" s="6">
        <f>IF((B4+B5)=0,0,B4/(B4+B5))</f>
        <v/>
      </c>
    </row>
    <row r="8">
      <c r="A8" s="2" t="inlineStr">
        <is>
          <t>GO BATTLE LEAGUE</t>
        </is>
      </c>
    </row>
    <row r="9">
      <c r="A9" s="3" t="inlineStr">
        <is>
          <t>Vittorie</t>
        </is>
      </c>
      <c r="B9" s="10" t="n">
        <v>0</v>
      </c>
    </row>
    <row r="10">
      <c r="A10" s="3" t="inlineStr">
        <is>
          <t>Sconfitte</t>
        </is>
      </c>
      <c r="B10" s="10" t="n">
        <v>0</v>
      </c>
    </row>
    <row r="11">
      <c r="A11" s="17" t="inlineStr">
        <is>
          <t>Win Rate</t>
        </is>
      </c>
      <c r="B11" s="6">
        <f>IF((B9+B10)=0,0,B9/(B9+B10))</f>
        <v/>
      </c>
    </row>
    <row r="13">
      <c r="A13" s="2" t="inlineStr">
        <is>
          <t>BUDDY</t>
        </is>
      </c>
    </row>
    <row r="14">
      <c r="A14" s="3" t="inlineStr">
        <is>
          <t>Km percorsi</t>
        </is>
      </c>
      <c r="B14" s="18" t="n">
        <v>0</v>
      </c>
    </row>
    <row r="15">
      <c r="A15" s="3" t="inlineStr">
        <is>
          <t>Caramelle</t>
        </is>
      </c>
      <c r="B15" s="18" t="n">
        <v>0</v>
      </c>
    </row>
    <row r="16">
      <c r="A16" s="3" t="inlineStr">
        <is>
          <t>Cuori</t>
        </is>
      </c>
      <c r="B16" s="18" t="n">
        <v>0</v>
      </c>
    </row>
    <row r="17">
      <c r="A17" s="3" t="inlineStr">
        <is>
          <t>Caramelle / Km</t>
        </is>
      </c>
      <c r="B17" s="19">
        <f>IF(B14=0,0,B15/B14)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Leggendari</t>
        </is>
      </c>
    </row>
    <row r="2">
      <c r="A2" t="inlineStr">
        <is>
          <t>Segna Catturato/Shiny con Sì/No. Win rate = Catture/Tentativi raid.</t>
        </is>
      </c>
    </row>
    <row r="4">
      <c r="A4" s="8" t="inlineStr">
        <is>
          <t>Pokémon</t>
        </is>
      </c>
      <c r="B4" s="8" t="inlineStr">
        <is>
          <t>Catturato</t>
        </is>
      </c>
      <c r="C4" s="8" t="inlineStr">
        <is>
          <t>Shiny</t>
        </is>
      </c>
      <c r="D4" s="8" t="inlineStr">
        <is>
          <t>IV %</t>
        </is>
      </c>
      <c r="E4" s="8" t="inlineStr">
        <is>
          <t>Data</t>
        </is>
      </c>
      <c r="F4" s="8" t="inlineStr">
        <is>
          <t>Tentativi Raid</t>
        </is>
      </c>
      <c r="G4" s="8" t="inlineStr">
        <is>
          <t>Catture</t>
        </is>
      </c>
      <c r="H4" s="8" t="inlineStr">
        <is>
          <t>Win Rate</t>
        </is>
      </c>
    </row>
    <row r="5">
      <c r="A5" s="3" t="inlineStr">
        <is>
          <t>Articuno</t>
        </is>
      </c>
      <c r="B5" s="10" t="inlineStr">
        <is>
          <t>No</t>
        </is>
      </c>
      <c r="C5" s="10" t="inlineStr">
        <is>
          <t>No</t>
        </is>
      </c>
      <c r="D5" s="10" t="inlineStr"/>
      <c r="E5" s="10" t="inlineStr"/>
      <c r="F5" s="10" t="n">
        <v>0</v>
      </c>
      <c r="G5" s="10" t="n">
        <v>0</v>
      </c>
      <c r="H5" s="6">
        <f>IF(F5=0,0,G5/F5)</f>
        <v/>
      </c>
    </row>
    <row r="6">
      <c r="A6" s="3" t="inlineStr">
        <is>
          <t>Zapdos</t>
        </is>
      </c>
      <c r="B6" s="10" t="inlineStr">
        <is>
          <t>No</t>
        </is>
      </c>
      <c r="C6" s="10" t="inlineStr">
        <is>
          <t>No</t>
        </is>
      </c>
      <c r="D6" s="10" t="inlineStr"/>
      <c r="E6" s="10" t="inlineStr"/>
      <c r="F6" s="10" t="n">
        <v>0</v>
      </c>
      <c r="G6" s="10" t="n">
        <v>0</v>
      </c>
      <c r="H6" s="6">
        <f>IF(F6=0,0,G6/F6)</f>
        <v/>
      </c>
    </row>
    <row r="7">
      <c r="A7" s="3" t="inlineStr">
        <is>
          <t>Moltres</t>
        </is>
      </c>
      <c r="B7" s="10" t="inlineStr">
        <is>
          <t>No</t>
        </is>
      </c>
      <c r="C7" s="10" t="inlineStr">
        <is>
          <t>No</t>
        </is>
      </c>
      <c r="D7" s="10" t="inlineStr"/>
      <c r="E7" s="10" t="inlineStr"/>
      <c r="F7" s="10" t="n">
        <v>0</v>
      </c>
      <c r="G7" s="10" t="n">
        <v>0</v>
      </c>
      <c r="H7" s="6">
        <f>IF(F7=0,0,G7/F7)</f>
        <v/>
      </c>
    </row>
    <row r="8">
      <c r="A8" s="3" t="inlineStr">
        <is>
          <t>Mewtwo</t>
        </is>
      </c>
      <c r="B8" s="10" t="inlineStr">
        <is>
          <t>No</t>
        </is>
      </c>
      <c r="C8" s="10" t="inlineStr">
        <is>
          <t>No</t>
        </is>
      </c>
      <c r="D8" s="10" t="inlineStr"/>
      <c r="E8" s="10" t="inlineStr"/>
      <c r="F8" s="10" t="n">
        <v>0</v>
      </c>
      <c r="G8" s="10" t="n">
        <v>0</v>
      </c>
      <c r="H8" s="6">
        <f>IF(F8=0,0,G8/F8)</f>
        <v/>
      </c>
    </row>
    <row r="9">
      <c r="A9" s="3" t="inlineStr">
        <is>
          <t>Raikou</t>
        </is>
      </c>
      <c r="B9" s="10" t="inlineStr">
        <is>
          <t>No</t>
        </is>
      </c>
      <c r="C9" s="10" t="inlineStr">
        <is>
          <t>No</t>
        </is>
      </c>
      <c r="D9" s="10" t="inlineStr"/>
      <c r="E9" s="10" t="inlineStr"/>
      <c r="F9" s="10" t="n">
        <v>0</v>
      </c>
      <c r="G9" s="10" t="n">
        <v>0</v>
      </c>
      <c r="H9" s="6">
        <f>IF(F9=0,0,G9/F9)</f>
        <v/>
      </c>
    </row>
    <row r="10">
      <c r="A10" s="3" t="inlineStr">
        <is>
          <t>Entei</t>
        </is>
      </c>
      <c r="B10" s="10" t="inlineStr">
        <is>
          <t>No</t>
        </is>
      </c>
      <c r="C10" s="10" t="inlineStr">
        <is>
          <t>No</t>
        </is>
      </c>
      <c r="D10" s="10" t="inlineStr"/>
      <c r="E10" s="10" t="inlineStr"/>
      <c r="F10" s="10" t="n">
        <v>0</v>
      </c>
      <c r="G10" s="10" t="n">
        <v>0</v>
      </c>
      <c r="H10" s="6">
        <f>IF(F10=0,0,G10/F10)</f>
        <v/>
      </c>
    </row>
    <row r="11">
      <c r="A11" s="3" t="inlineStr">
        <is>
          <t>Suicune</t>
        </is>
      </c>
      <c r="B11" s="10" t="inlineStr">
        <is>
          <t>No</t>
        </is>
      </c>
      <c r="C11" s="10" t="inlineStr">
        <is>
          <t>No</t>
        </is>
      </c>
      <c r="D11" s="10" t="inlineStr"/>
      <c r="E11" s="10" t="inlineStr"/>
      <c r="F11" s="10" t="n">
        <v>0</v>
      </c>
      <c r="G11" s="10" t="n">
        <v>0</v>
      </c>
      <c r="H11" s="6">
        <f>IF(F11=0,0,G11/F11)</f>
        <v/>
      </c>
    </row>
    <row r="12">
      <c r="A12" s="3" t="inlineStr">
        <is>
          <t>Lugia</t>
        </is>
      </c>
      <c r="B12" s="10" t="inlineStr">
        <is>
          <t>No</t>
        </is>
      </c>
      <c r="C12" s="10" t="inlineStr">
        <is>
          <t>No</t>
        </is>
      </c>
      <c r="D12" s="10" t="inlineStr"/>
      <c r="E12" s="10" t="inlineStr"/>
      <c r="F12" s="10" t="n">
        <v>0</v>
      </c>
      <c r="G12" s="10" t="n">
        <v>0</v>
      </c>
      <c r="H12" s="6">
        <f>IF(F12=0,0,G12/F12)</f>
        <v/>
      </c>
    </row>
    <row r="13">
      <c r="A13" s="3" t="inlineStr">
        <is>
          <t>Ho-Oh</t>
        </is>
      </c>
      <c r="B13" s="10" t="inlineStr">
        <is>
          <t>No</t>
        </is>
      </c>
      <c r="C13" s="10" t="inlineStr">
        <is>
          <t>No</t>
        </is>
      </c>
      <c r="D13" s="10" t="inlineStr"/>
      <c r="E13" s="10" t="inlineStr"/>
      <c r="F13" s="10" t="n">
        <v>0</v>
      </c>
      <c r="G13" s="10" t="n">
        <v>0</v>
      </c>
      <c r="H13" s="6">
        <f>IF(F13=0,0,G13/F13)</f>
        <v/>
      </c>
    </row>
    <row r="14">
      <c r="A14" s="3" t="inlineStr">
        <is>
          <t>Regirock</t>
        </is>
      </c>
      <c r="B14" s="10" t="inlineStr">
        <is>
          <t>No</t>
        </is>
      </c>
      <c r="C14" s="10" t="inlineStr">
        <is>
          <t>No</t>
        </is>
      </c>
      <c r="D14" s="10" t="inlineStr"/>
      <c r="E14" s="10" t="inlineStr"/>
      <c r="F14" s="10" t="n">
        <v>0</v>
      </c>
      <c r="G14" s="10" t="n">
        <v>0</v>
      </c>
      <c r="H14" s="6">
        <f>IF(F14=0,0,G14/F14)</f>
        <v/>
      </c>
    </row>
    <row r="15">
      <c r="A15" s="3" t="inlineStr">
        <is>
          <t>Regice</t>
        </is>
      </c>
      <c r="B15" s="10" t="inlineStr">
        <is>
          <t>No</t>
        </is>
      </c>
      <c r="C15" s="10" t="inlineStr">
        <is>
          <t>No</t>
        </is>
      </c>
      <c r="D15" s="10" t="inlineStr"/>
      <c r="E15" s="10" t="inlineStr"/>
      <c r="F15" s="10" t="n">
        <v>0</v>
      </c>
      <c r="G15" s="10" t="n">
        <v>0</v>
      </c>
      <c r="H15" s="6">
        <f>IF(F15=0,0,G15/F15)</f>
        <v/>
      </c>
    </row>
    <row r="16">
      <c r="A16" s="3" t="inlineStr">
        <is>
          <t>Registeel</t>
        </is>
      </c>
      <c r="B16" s="10" t="inlineStr">
        <is>
          <t>No</t>
        </is>
      </c>
      <c r="C16" s="10" t="inlineStr">
        <is>
          <t>No</t>
        </is>
      </c>
      <c r="D16" s="10" t="inlineStr"/>
      <c r="E16" s="10" t="inlineStr"/>
      <c r="F16" s="10" t="n">
        <v>0</v>
      </c>
      <c r="G16" s="10" t="n">
        <v>0</v>
      </c>
      <c r="H16" s="6">
        <f>IF(F16=0,0,G16/F16)</f>
        <v/>
      </c>
    </row>
    <row r="17">
      <c r="A17" s="3" t="inlineStr">
        <is>
          <t>Latias</t>
        </is>
      </c>
      <c r="B17" s="10" t="inlineStr">
        <is>
          <t>No</t>
        </is>
      </c>
      <c r="C17" s="10" t="inlineStr">
        <is>
          <t>No</t>
        </is>
      </c>
      <c r="D17" s="10" t="inlineStr"/>
      <c r="E17" s="10" t="inlineStr"/>
      <c r="F17" s="10" t="n">
        <v>0</v>
      </c>
      <c r="G17" s="10" t="n">
        <v>0</v>
      </c>
      <c r="H17" s="6">
        <f>IF(F17=0,0,G17/F17)</f>
        <v/>
      </c>
    </row>
    <row r="18">
      <c r="A18" s="3" t="inlineStr">
        <is>
          <t>Latios</t>
        </is>
      </c>
      <c r="B18" s="10" t="inlineStr">
        <is>
          <t>No</t>
        </is>
      </c>
      <c r="C18" s="10" t="inlineStr">
        <is>
          <t>No</t>
        </is>
      </c>
      <c r="D18" s="10" t="inlineStr"/>
      <c r="E18" s="10" t="inlineStr"/>
      <c r="F18" s="10" t="n">
        <v>0</v>
      </c>
      <c r="G18" s="10" t="n">
        <v>0</v>
      </c>
      <c r="H18" s="6">
        <f>IF(F18=0,0,G18/F18)</f>
        <v/>
      </c>
    </row>
    <row r="19">
      <c r="A19" s="3" t="inlineStr">
        <is>
          <t>Kyogre</t>
        </is>
      </c>
      <c r="B19" s="10" t="inlineStr">
        <is>
          <t>No</t>
        </is>
      </c>
      <c r="C19" s="10" t="inlineStr">
        <is>
          <t>No</t>
        </is>
      </c>
      <c r="D19" s="10" t="inlineStr"/>
      <c r="E19" s="10" t="inlineStr"/>
      <c r="F19" s="10" t="n">
        <v>0</v>
      </c>
      <c r="G19" s="10" t="n">
        <v>0</v>
      </c>
      <c r="H19" s="6">
        <f>IF(F19=0,0,G19/F19)</f>
        <v/>
      </c>
    </row>
    <row r="20">
      <c r="A20" s="3" t="inlineStr">
        <is>
          <t>Groudon</t>
        </is>
      </c>
      <c r="B20" s="10" t="inlineStr">
        <is>
          <t>No</t>
        </is>
      </c>
      <c r="C20" s="10" t="inlineStr">
        <is>
          <t>No</t>
        </is>
      </c>
      <c r="D20" s="10" t="inlineStr"/>
      <c r="E20" s="10" t="inlineStr"/>
      <c r="F20" s="10" t="n">
        <v>0</v>
      </c>
      <c r="G20" s="10" t="n">
        <v>0</v>
      </c>
      <c r="H20" s="6">
        <f>IF(F20=0,0,G20/F20)</f>
        <v/>
      </c>
    </row>
    <row r="21">
      <c r="A21" s="3" t="inlineStr">
        <is>
          <t>Rayquaza</t>
        </is>
      </c>
      <c r="B21" s="10" t="inlineStr">
        <is>
          <t>No</t>
        </is>
      </c>
      <c r="C21" s="10" t="inlineStr">
        <is>
          <t>No</t>
        </is>
      </c>
      <c r="D21" s="10" t="inlineStr"/>
      <c r="E21" s="10" t="inlineStr"/>
      <c r="F21" s="10" t="n">
        <v>0</v>
      </c>
      <c r="G21" s="10" t="n">
        <v>0</v>
      </c>
      <c r="H21" s="6">
        <f>IF(F21=0,0,G21/F21)</f>
        <v/>
      </c>
    </row>
    <row r="22">
      <c r="A22" s="3" t="inlineStr">
        <is>
          <t>Uxie</t>
        </is>
      </c>
      <c r="B22" s="10" t="inlineStr">
        <is>
          <t>No</t>
        </is>
      </c>
      <c r="C22" s="10" t="inlineStr">
        <is>
          <t>No</t>
        </is>
      </c>
      <c r="D22" s="10" t="inlineStr"/>
      <c r="E22" s="10" t="inlineStr"/>
      <c r="F22" s="10" t="n">
        <v>0</v>
      </c>
      <c r="G22" s="10" t="n">
        <v>0</v>
      </c>
      <c r="H22" s="6">
        <f>IF(F22=0,0,G22/F22)</f>
        <v/>
      </c>
    </row>
    <row r="23">
      <c r="A23" s="3" t="inlineStr">
        <is>
          <t>Mesprit</t>
        </is>
      </c>
      <c r="B23" s="10" t="inlineStr">
        <is>
          <t>No</t>
        </is>
      </c>
      <c r="C23" s="10" t="inlineStr">
        <is>
          <t>No</t>
        </is>
      </c>
      <c r="D23" s="10" t="inlineStr"/>
      <c r="E23" s="10" t="inlineStr"/>
      <c r="F23" s="10" t="n">
        <v>0</v>
      </c>
      <c r="G23" s="10" t="n">
        <v>0</v>
      </c>
      <c r="H23" s="6">
        <f>IF(F23=0,0,G23/F23)</f>
        <v/>
      </c>
    </row>
    <row r="24">
      <c r="A24" s="3" t="inlineStr">
        <is>
          <t>Azelf</t>
        </is>
      </c>
      <c r="B24" s="10" t="inlineStr">
        <is>
          <t>No</t>
        </is>
      </c>
      <c r="C24" s="10" t="inlineStr">
        <is>
          <t>No</t>
        </is>
      </c>
      <c r="D24" s="10" t="inlineStr"/>
      <c r="E24" s="10" t="inlineStr"/>
      <c r="F24" s="10" t="n">
        <v>0</v>
      </c>
      <c r="G24" s="10" t="n">
        <v>0</v>
      </c>
      <c r="H24" s="6">
        <f>IF(F24=0,0,G24/F24)</f>
        <v/>
      </c>
    </row>
    <row r="25">
      <c r="A25" s="3" t="inlineStr">
        <is>
          <t>Dialga</t>
        </is>
      </c>
      <c r="B25" s="10" t="inlineStr">
        <is>
          <t>No</t>
        </is>
      </c>
      <c r="C25" s="10" t="inlineStr">
        <is>
          <t>No</t>
        </is>
      </c>
      <c r="D25" s="10" t="inlineStr"/>
      <c r="E25" s="10" t="inlineStr"/>
      <c r="F25" s="10" t="n">
        <v>0</v>
      </c>
      <c r="G25" s="10" t="n">
        <v>0</v>
      </c>
      <c r="H25" s="6">
        <f>IF(F25=0,0,G25/F25)</f>
        <v/>
      </c>
    </row>
    <row r="26">
      <c r="A26" s="3" t="inlineStr">
        <is>
          <t>Palkia</t>
        </is>
      </c>
      <c r="B26" s="10" t="inlineStr">
        <is>
          <t>No</t>
        </is>
      </c>
      <c r="C26" s="10" t="inlineStr">
        <is>
          <t>No</t>
        </is>
      </c>
      <c r="D26" s="10" t="inlineStr"/>
      <c r="E26" s="10" t="inlineStr"/>
      <c r="F26" s="10" t="n">
        <v>0</v>
      </c>
      <c r="G26" s="10" t="n">
        <v>0</v>
      </c>
      <c r="H26" s="6">
        <f>IF(F26=0,0,G26/F26)</f>
        <v/>
      </c>
    </row>
    <row r="27">
      <c r="A27" s="3" t="inlineStr">
        <is>
          <t>Heatran</t>
        </is>
      </c>
      <c r="B27" s="10" t="inlineStr">
        <is>
          <t>No</t>
        </is>
      </c>
      <c r="C27" s="10" t="inlineStr">
        <is>
          <t>No</t>
        </is>
      </c>
      <c r="D27" s="10" t="inlineStr"/>
      <c r="E27" s="10" t="inlineStr"/>
      <c r="F27" s="10" t="n">
        <v>0</v>
      </c>
      <c r="G27" s="10" t="n">
        <v>0</v>
      </c>
      <c r="H27" s="6">
        <f>IF(F27=0,0,G27/F27)</f>
        <v/>
      </c>
    </row>
    <row r="28">
      <c r="A28" s="3" t="inlineStr">
        <is>
          <t>Regigigas</t>
        </is>
      </c>
      <c r="B28" s="10" t="inlineStr">
        <is>
          <t>No</t>
        </is>
      </c>
      <c r="C28" s="10" t="inlineStr">
        <is>
          <t>No</t>
        </is>
      </c>
      <c r="D28" s="10" t="inlineStr"/>
      <c r="E28" s="10" t="inlineStr"/>
      <c r="F28" s="10" t="n">
        <v>0</v>
      </c>
      <c r="G28" s="10" t="n">
        <v>0</v>
      </c>
      <c r="H28" s="6">
        <f>IF(F28=0,0,G28/F28)</f>
        <v/>
      </c>
    </row>
    <row r="29">
      <c r="A29" s="3" t="inlineStr">
        <is>
          <t>Giratina</t>
        </is>
      </c>
      <c r="B29" s="10" t="inlineStr">
        <is>
          <t>No</t>
        </is>
      </c>
      <c r="C29" s="10" t="inlineStr">
        <is>
          <t>No</t>
        </is>
      </c>
      <c r="D29" s="10" t="inlineStr"/>
      <c r="E29" s="10" t="inlineStr"/>
      <c r="F29" s="10" t="n">
        <v>0</v>
      </c>
      <c r="G29" s="10" t="n">
        <v>0</v>
      </c>
      <c r="H29" s="6">
        <f>IF(F29=0,0,G29/F29)</f>
        <v/>
      </c>
    </row>
    <row r="30">
      <c r="A30" s="3" t="inlineStr">
        <is>
          <t>Cresselia</t>
        </is>
      </c>
      <c r="B30" s="10" t="inlineStr">
        <is>
          <t>No</t>
        </is>
      </c>
      <c r="C30" s="10" t="inlineStr">
        <is>
          <t>No</t>
        </is>
      </c>
      <c r="D30" s="10" t="inlineStr"/>
      <c r="E30" s="10" t="inlineStr"/>
      <c r="F30" s="10" t="n">
        <v>0</v>
      </c>
      <c r="G30" s="10" t="n">
        <v>0</v>
      </c>
      <c r="H30" s="6">
        <f>IF(F30=0,0,G30/F30)</f>
        <v/>
      </c>
    </row>
    <row r="31">
      <c r="A31" s="3" t="inlineStr">
        <is>
          <t>Cobalion</t>
        </is>
      </c>
      <c r="B31" s="10" t="inlineStr">
        <is>
          <t>No</t>
        </is>
      </c>
      <c r="C31" s="10" t="inlineStr">
        <is>
          <t>No</t>
        </is>
      </c>
      <c r="D31" s="10" t="inlineStr"/>
      <c r="E31" s="10" t="inlineStr"/>
      <c r="F31" s="10" t="n">
        <v>0</v>
      </c>
      <c r="G31" s="10" t="n">
        <v>0</v>
      </c>
      <c r="H31" s="6">
        <f>IF(F31=0,0,G31/F31)</f>
        <v/>
      </c>
    </row>
    <row r="32">
      <c r="A32" s="3" t="inlineStr">
        <is>
          <t>Terrakion</t>
        </is>
      </c>
      <c r="B32" s="10" t="inlineStr">
        <is>
          <t>No</t>
        </is>
      </c>
      <c r="C32" s="10" t="inlineStr">
        <is>
          <t>No</t>
        </is>
      </c>
      <c r="D32" s="10" t="inlineStr"/>
      <c r="E32" s="10" t="inlineStr"/>
      <c r="F32" s="10" t="n">
        <v>0</v>
      </c>
      <c r="G32" s="10" t="n">
        <v>0</v>
      </c>
      <c r="H32" s="6">
        <f>IF(F32=0,0,G32/F32)</f>
        <v/>
      </c>
    </row>
    <row r="33">
      <c r="A33" s="3" t="inlineStr">
        <is>
          <t>Virizion</t>
        </is>
      </c>
      <c r="B33" s="10" t="inlineStr">
        <is>
          <t>No</t>
        </is>
      </c>
      <c r="C33" s="10" t="inlineStr">
        <is>
          <t>No</t>
        </is>
      </c>
      <c r="D33" s="10" t="inlineStr"/>
      <c r="E33" s="10" t="inlineStr"/>
      <c r="F33" s="10" t="n">
        <v>0</v>
      </c>
      <c r="G33" s="10" t="n">
        <v>0</v>
      </c>
      <c r="H33" s="6">
        <f>IF(F33=0,0,G33/F33)</f>
        <v/>
      </c>
    </row>
    <row r="34">
      <c r="A34" s="3" t="inlineStr">
        <is>
          <t>Tornadus</t>
        </is>
      </c>
      <c r="B34" s="10" t="inlineStr">
        <is>
          <t>No</t>
        </is>
      </c>
      <c r="C34" s="10" t="inlineStr">
        <is>
          <t>No</t>
        </is>
      </c>
      <c r="D34" s="10" t="inlineStr"/>
      <c r="E34" s="10" t="inlineStr"/>
      <c r="F34" s="10" t="n">
        <v>0</v>
      </c>
      <c r="G34" s="10" t="n">
        <v>0</v>
      </c>
      <c r="H34" s="6">
        <f>IF(F34=0,0,G34/F34)</f>
        <v/>
      </c>
    </row>
    <row r="35">
      <c r="A35" s="3" t="inlineStr">
        <is>
          <t>Thundurus</t>
        </is>
      </c>
      <c r="B35" s="10" t="inlineStr">
        <is>
          <t>No</t>
        </is>
      </c>
      <c r="C35" s="10" t="inlineStr">
        <is>
          <t>No</t>
        </is>
      </c>
      <c r="D35" s="10" t="inlineStr"/>
      <c r="E35" s="10" t="inlineStr"/>
      <c r="F35" s="10" t="n">
        <v>0</v>
      </c>
      <c r="G35" s="10" t="n">
        <v>0</v>
      </c>
      <c r="H35" s="6">
        <f>IF(F35=0,0,G35/F35)</f>
        <v/>
      </c>
    </row>
    <row r="36">
      <c r="A36" s="3" t="inlineStr">
        <is>
          <t>Reshiram</t>
        </is>
      </c>
      <c r="B36" s="10" t="inlineStr">
        <is>
          <t>No</t>
        </is>
      </c>
      <c r="C36" s="10" t="inlineStr">
        <is>
          <t>No</t>
        </is>
      </c>
      <c r="D36" s="10" t="inlineStr"/>
      <c r="E36" s="10" t="inlineStr"/>
      <c r="F36" s="10" t="n">
        <v>0</v>
      </c>
      <c r="G36" s="10" t="n">
        <v>0</v>
      </c>
      <c r="H36" s="6">
        <f>IF(F36=0,0,G36/F36)</f>
        <v/>
      </c>
    </row>
    <row r="37">
      <c r="A37" s="3" t="inlineStr">
        <is>
          <t>Zekrom</t>
        </is>
      </c>
      <c r="B37" s="10" t="inlineStr">
        <is>
          <t>No</t>
        </is>
      </c>
      <c r="C37" s="10" t="inlineStr">
        <is>
          <t>No</t>
        </is>
      </c>
      <c r="D37" s="10" t="inlineStr"/>
      <c r="E37" s="10" t="inlineStr"/>
      <c r="F37" s="10" t="n">
        <v>0</v>
      </c>
      <c r="G37" s="10" t="n">
        <v>0</v>
      </c>
      <c r="H37" s="6">
        <f>IF(F37=0,0,G37/F37)</f>
        <v/>
      </c>
    </row>
    <row r="38">
      <c r="A38" s="3" t="inlineStr">
        <is>
          <t>Landorus</t>
        </is>
      </c>
      <c r="B38" s="10" t="inlineStr">
        <is>
          <t>No</t>
        </is>
      </c>
      <c r="C38" s="10" t="inlineStr">
        <is>
          <t>No</t>
        </is>
      </c>
      <c r="D38" s="10" t="inlineStr"/>
      <c r="E38" s="10" t="inlineStr"/>
      <c r="F38" s="10" t="n">
        <v>0</v>
      </c>
      <c r="G38" s="10" t="n">
        <v>0</v>
      </c>
      <c r="H38" s="6">
        <f>IF(F38=0,0,G38/F38)</f>
        <v/>
      </c>
    </row>
    <row r="39">
      <c r="A39" s="3" t="inlineStr">
        <is>
          <t>Kyurem</t>
        </is>
      </c>
      <c r="B39" s="10" t="inlineStr">
        <is>
          <t>No</t>
        </is>
      </c>
      <c r="C39" s="10" t="inlineStr">
        <is>
          <t>No</t>
        </is>
      </c>
      <c r="D39" s="10" t="inlineStr"/>
      <c r="E39" s="10" t="inlineStr"/>
      <c r="F39" s="10" t="n">
        <v>0</v>
      </c>
      <c r="G39" s="10" t="n">
        <v>0</v>
      </c>
      <c r="H39" s="6">
        <f>IF(F39=0,0,G39/F39)</f>
        <v/>
      </c>
    </row>
    <row r="40">
      <c r="A40" s="3" t="inlineStr">
        <is>
          <t>Xerneas</t>
        </is>
      </c>
      <c r="B40" s="10" t="inlineStr">
        <is>
          <t>No</t>
        </is>
      </c>
      <c r="C40" s="10" t="inlineStr">
        <is>
          <t>No</t>
        </is>
      </c>
      <c r="D40" s="10" t="inlineStr"/>
      <c r="E40" s="10" t="inlineStr"/>
      <c r="F40" s="10" t="n">
        <v>0</v>
      </c>
      <c r="G40" s="10" t="n">
        <v>0</v>
      </c>
      <c r="H40" s="6">
        <f>IF(F40=0,0,G40/F40)</f>
        <v/>
      </c>
    </row>
    <row r="41">
      <c r="A41" s="3" t="inlineStr">
        <is>
          <t>Yveltal</t>
        </is>
      </c>
      <c r="B41" s="10" t="inlineStr">
        <is>
          <t>No</t>
        </is>
      </c>
      <c r="C41" s="10" t="inlineStr">
        <is>
          <t>No</t>
        </is>
      </c>
      <c r="D41" s="10" t="inlineStr"/>
      <c r="E41" s="10" t="inlineStr"/>
      <c r="F41" s="10" t="n">
        <v>0</v>
      </c>
      <c r="G41" s="10" t="n">
        <v>0</v>
      </c>
      <c r="H41" s="6">
        <f>IF(F41=0,0,G41/F41)</f>
        <v/>
      </c>
    </row>
    <row r="42">
      <c r="A42" s="3" t="inlineStr">
        <is>
          <t>Zygarde</t>
        </is>
      </c>
      <c r="B42" s="10" t="inlineStr">
        <is>
          <t>No</t>
        </is>
      </c>
      <c r="C42" s="10" t="inlineStr">
        <is>
          <t>No</t>
        </is>
      </c>
      <c r="D42" s="10" t="inlineStr"/>
      <c r="E42" s="10" t="inlineStr"/>
      <c r="F42" s="10" t="n">
        <v>0</v>
      </c>
      <c r="G42" s="10" t="n">
        <v>0</v>
      </c>
      <c r="H42" s="6">
        <f>IF(F42=0,0,G42/F42)</f>
        <v/>
      </c>
    </row>
    <row r="43">
      <c r="A43" s="3" t="inlineStr">
        <is>
          <t>Tapu Koko</t>
        </is>
      </c>
      <c r="B43" s="10" t="inlineStr">
        <is>
          <t>No</t>
        </is>
      </c>
      <c r="C43" s="10" t="inlineStr">
        <is>
          <t>No</t>
        </is>
      </c>
      <c r="D43" s="10" t="inlineStr"/>
      <c r="E43" s="10" t="inlineStr"/>
      <c r="F43" s="10" t="n">
        <v>0</v>
      </c>
      <c r="G43" s="10" t="n">
        <v>0</v>
      </c>
      <c r="H43" s="6">
        <f>IF(F43=0,0,G43/F43)</f>
        <v/>
      </c>
    </row>
    <row r="44">
      <c r="A44" s="3" t="inlineStr">
        <is>
          <t>Tapu Lele</t>
        </is>
      </c>
      <c r="B44" s="10" t="inlineStr">
        <is>
          <t>No</t>
        </is>
      </c>
      <c r="C44" s="10" t="inlineStr">
        <is>
          <t>No</t>
        </is>
      </c>
      <c r="D44" s="10" t="inlineStr"/>
      <c r="E44" s="10" t="inlineStr"/>
      <c r="F44" s="10" t="n">
        <v>0</v>
      </c>
      <c r="G44" s="10" t="n">
        <v>0</v>
      </c>
      <c r="H44" s="6">
        <f>IF(F44=0,0,G44/F44)</f>
        <v/>
      </c>
    </row>
    <row r="45">
      <c r="A45" s="3" t="inlineStr">
        <is>
          <t>Tapu Bulu</t>
        </is>
      </c>
      <c r="B45" s="10" t="inlineStr">
        <is>
          <t>No</t>
        </is>
      </c>
      <c r="C45" s="10" t="inlineStr">
        <is>
          <t>No</t>
        </is>
      </c>
      <c r="D45" s="10" t="inlineStr"/>
      <c r="E45" s="10" t="inlineStr"/>
      <c r="F45" s="10" t="n">
        <v>0</v>
      </c>
      <c r="G45" s="10" t="n">
        <v>0</v>
      </c>
      <c r="H45" s="6">
        <f>IF(F45=0,0,G45/F45)</f>
        <v/>
      </c>
    </row>
    <row r="46">
      <c r="A46" s="3" t="inlineStr">
        <is>
          <t>Tapu Fini</t>
        </is>
      </c>
      <c r="B46" s="10" t="inlineStr">
        <is>
          <t>No</t>
        </is>
      </c>
      <c r="C46" s="10" t="inlineStr">
        <is>
          <t>No</t>
        </is>
      </c>
      <c r="D46" s="10" t="inlineStr"/>
      <c r="E46" s="10" t="inlineStr"/>
      <c r="F46" s="10" t="n">
        <v>0</v>
      </c>
      <c r="G46" s="10" t="n">
        <v>0</v>
      </c>
      <c r="H46" s="6">
        <f>IF(F46=0,0,G46/F46)</f>
        <v/>
      </c>
    </row>
    <row r="47">
      <c r="A47" s="3" t="inlineStr">
        <is>
          <t>Solgaleo</t>
        </is>
      </c>
      <c r="B47" s="10" t="inlineStr">
        <is>
          <t>No</t>
        </is>
      </c>
      <c r="C47" s="10" t="inlineStr">
        <is>
          <t>No</t>
        </is>
      </c>
      <c r="D47" s="10" t="inlineStr"/>
      <c r="E47" s="10" t="inlineStr"/>
      <c r="F47" s="10" t="n">
        <v>0</v>
      </c>
      <c r="G47" s="10" t="n">
        <v>0</v>
      </c>
      <c r="H47" s="6">
        <f>IF(F47=0,0,G47/F47)</f>
        <v/>
      </c>
    </row>
    <row r="48">
      <c r="A48" s="3" t="inlineStr">
        <is>
          <t>Lunala</t>
        </is>
      </c>
      <c r="B48" s="10" t="inlineStr">
        <is>
          <t>No</t>
        </is>
      </c>
      <c r="C48" s="10" t="inlineStr">
        <is>
          <t>No</t>
        </is>
      </c>
      <c r="D48" s="10" t="inlineStr"/>
      <c r="E48" s="10" t="inlineStr"/>
      <c r="F48" s="10" t="n">
        <v>0</v>
      </c>
      <c r="G48" s="10" t="n">
        <v>0</v>
      </c>
      <c r="H48" s="6">
        <f>IF(F48=0,0,G48/F48)</f>
        <v/>
      </c>
    </row>
    <row r="49">
      <c r="A49" s="3" t="inlineStr">
        <is>
          <t>Necrozma</t>
        </is>
      </c>
      <c r="B49" s="10" t="inlineStr">
        <is>
          <t>No</t>
        </is>
      </c>
      <c r="C49" s="10" t="inlineStr">
        <is>
          <t>No</t>
        </is>
      </c>
      <c r="D49" s="10" t="inlineStr"/>
      <c r="E49" s="10" t="inlineStr"/>
      <c r="F49" s="10" t="n">
        <v>0</v>
      </c>
      <c r="G49" s="10" t="n">
        <v>0</v>
      </c>
      <c r="H49" s="6">
        <f>IF(F49=0,0,G49/F49)</f>
        <v/>
      </c>
    </row>
    <row r="50">
      <c r="A50" s="3" t="inlineStr">
        <is>
          <t>Zacian</t>
        </is>
      </c>
      <c r="B50" s="10" t="inlineStr">
        <is>
          <t>No</t>
        </is>
      </c>
      <c r="C50" s="10" t="inlineStr">
        <is>
          <t>No</t>
        </is>
      </c>
      <c r="D50" s="10" t="inlineStr"/>
      <c r="E50" s="10" t="inlineStr"/>
      <c r="F50" s="10" t="n">
        <v>0</v>
      </c>
      <c r="G50" s="10" t="n">
        <v>0</v>
      </c>
      <c r="H50" s="6">
        <f>IF(F50=0,0,G50/F50)</f>
        <v/>
      </c>
    </row>
    <row r="51">
      <c r="A51" s="3" t="inlineStr">
        <is>
          <t>Zamazenta</t>
        </is>
      </c>
      <c r="B51" s="10" t="inlineStr">
        <is>
          <t>No</t>
        </is>
      </c>
      <c r="C51" s="10" t="inlineStr">
        <is>
          <t>No</t>
        </is>
      </c>
      <c r="D51" s="10" t="inlineStr"/>
      <c r="E51" s="10" t="inlineStr"/>
      <c r="F51" s="10" t="n">
        <v>0</v>
      </c>
      <c r="G51" s="10" t="n">
        <v>0</v>
      </c>
      <c r="H51" s="6">
        <f>IF(F51=0,0,G51/F51)</f>
        <v/>
      </c>
    </row>
    <row r="52">
      <c r="A52" s="3" t="inlineStr">
        <is>
          <t>Eternatus</t>
        </is>
      </c>
      <c r="B52" s="10" t="inlineStr">
        <is>
          <t>No</t>
        </is>
      </c>
      <c r="C52" s="10" t="inlineStr">
        <is>
          <t>No</t>
        </is>
      </c>
      <c r="D52" s="10" t="inlineStr"/>
      <c r="E52" s="10" t="inlineStr"/>
      <c r="F52" s="10" t="n">
        <v>0</v>
      </c>
      <c r="G52" s="10" t="n">
        <v>0</v>
      </c>
      <c r="H52" s="6">
        <f>IF(F52=0,0,G52/F52)</f>
        <v/>
      </c>
    </row>
    <row r="53">
      <c r="A53" s="3" t="inlineStr">
        <is>
          <t>Regieleki</t>
        </is>
      </c>
      <c r="B53" s="10" t="inlineStr">
        <is>
          <t>No</t>
        </is>
      </c>
      <c r="C53" s="10" t="inlineStr">
        <is>
          <t>No</t>
        </is>
      </c>
      <c r="D53" s="10" t="inlineStr"/>
      <c r="E53" s="10" t="inlineStr"/>
      <c r="F53" s="10" t="n">
        <v>0</v>
      </c>
      <c r="G53" s="10" t="n">
        <v>0</v>
      </c>
      <c r="H53" s="6">
        <f>IF(F53=0,0,G53/F53)</f>
        <v/>
      </c>
    </row>
    <row r="54">
      <c r="A54" s="3" t="inlineStr">
        <is>
          <t>Regidrago</t>
        </is>
      </c>
      <c r="B54" s="10" t="inlineStr">
        <is>
          <t>No</t>
        </is>
      </c>
      <c r="C54" s="10" t="inlineStr">
        <is>
          <t>No</t>
        </is>
      </c>
      <c r="D54" s="10" t="inlineStr"/>
      <c r="E54" s="10" t="inlineStr"/>
      <c r="F54" s="10" t="n">
        <v>0</v>
      </c>
      <c r="G54" s="10" t="n">
        <v>0</v>
      </c>
      <c r="H54" s="6">
        <f>IF(F54=0,0,G54/F54)</f>
        <v/>
      </c>
    </row>
    <row r="55">
      <c r="A55" s="3" t="inlineStr">
        <is>
          <t>Glastrier</t>
        </is>
      </c>
      <c r="B55" s="10" t="inlineStr">
        <is>
          <t>No</t>
        </is>
      </c>
      <c r="C55" s="10" t="inlineStr">
        <is>
          <t>No</t>
        </is>
      </c>
      <c r="D55" s="10" t="inlineStr"/>
      <c r="E55" s="10" t="inlineStr"/>
      <c r="F55" s="10" t="n">
        <v>0</v>
      </c>
      <c r="G55" s="10" t="n">
        <v>0</v>
      </c>
      <c r="H55" s="6">
        <f>IF(F55=0,0,G55/F55)</f>
        <v/>
      </c>
    </row>
    <row r="56">
      <c r="A56" s="3" t="inlineStr">
        <is>
          <t>Spectrier</t>
        </is>
      </c>
      <c r="B56" s="10" t="inlineStr">
        <is>
          <t>No</t>
        </is>
      </c>
      <c r="C56" s="10" t="inlineStr">
        <is>
          <t>No</t>
        </is>
      </c>
      <c r="D56" s="10" t="inlineStr"/>
      <c r="E56" s="10" t="inlineStr"/>
      <c r="F56" s="10" t="n">
        <v>0</v>
      </c>
      <c r="G56" s="10" t="n">
        <v>0</v>
      </c>
      <c r="H56" s="6">
        <f>IF(F56=0,0,G56/F56)</f>
        <v/>
      </c>
    </row>
    <row r="57">
      <c r="A57" s="3" t="inlineStr">
        <is>
          <t>Calyrex</t>
        </is>
      </c>
      <c r="B57" s="10" t="inlineStr">
        <is>
          <t>No</t>
        </is>
      </c>
      <c r="C57" s="10" t="inlineStr">
        <is>
          <t>No</t>
        </is>
      </c>
      <c r="D57" s="10" t="inlineStr"/>
      <c r="E57" s="10" t="inlineStr"/>
      <c r="F57" s="10" t="n">
        <v>0</v>
      </c>
      <c r="G57" s="10" t="n">
        <v>0</v>
      </c>
      <c r="H57" s="6">
        <f>IF(F57=0,0,G57/F57)</f>
        <v/>
      </c>
    </row>
    <row r="58">
      <c r="A58" s="3" t="inlineStr">
        <is>
          <t>Koraidon</t>
        </is>
      </c>
      <c r="B58" s="10" t="inlineStr">
        <is>
          <t>No</t>
        </is>
      </c>
      <c r="C58" s="10" t="inlineStr">
        <is>
          <t>No</t>
        </is>
      </c>
      <c r="D58" s="10" t="inlineStr"/>
      <c r="E58" s="10" t="inlineStr"/>
      <c r="F58" s="10" t="n">
        <v>0</v>
      </c>
      <c r="G58" s="10" t="n">
        <v>0</v>
      </c>
      <c r="H58" s="6">
        <f>IF(F58=0,0,G58/F58)</f>
        <v/>
      </c>
    </row>
    <row r="59">
      <c r="A59" s="3" t="inlineStr">
        <is>
          <t>Miraidon</t>
        </is>
      </c>
      <c r="B59" s="10" t="inlineStr">
        <is>
          <t>No</t>
        </is>
      </c>
      <c r="C59" s="10" t="inlineStr">
        <is>
          <t>No</t>
        </is>
      </c>
      <c r="D59" s="10" t="inlineStr"/>
      <c r="E59" s="10" t="inlineStr"/>
      <c r="F59" s="10" t="n">
        <v>0</v>
      </c>
      <c r="G59" s="10" t="n">
        <v>0</v>
      </c>
      <c r="H59" s="6">
        <f>IF(F59=0,0,G59/F59)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2026-08-26T09:52:17Z</dcterms:created>
  <dcterms:modified xsi:type="dcterms:W3CDTF">2026-08-26T09:52:17Z</dcterms:modified>
</cp:coreProperties>
</file>