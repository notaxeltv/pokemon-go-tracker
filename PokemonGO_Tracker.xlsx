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hiny" sheetId="3" state="visible" r:id="rId3"/>
    <sheet name="XP" sheetId="4" state="visible" r:id="rId4"/>
    <sheet name="Medaglie" sheetId="5" state="visible" r:id="rId5"/>
    <sheet name="Battaglie" sheetId="6" state="visible" r:id="rId6"/>
    <sheet name="Leggendar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2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IF(B9="","",MATCH(B9,XP!$B$4:$B$83,1))</f>
        <v/>
      </c>
    </row>
    <row r="13">
      <c r="A13" s="3" t="inlineStr">
        <is>
          <t>XP per prossimo livello</t>
        </is>
      </c>
      <c r="B13" s="5">
        <f>IF(B12&gt;=80,0,INDEX(XP!$B$4:$B$83,B12+1))</f>
        <v/>
      </c>
    </row>
    <row r="14">
      <c r="A14" s="3" t="inlineStr">
        <is>
          <t>XP mancanti</t>
        </is>
      </c>
      <c r="B14" s="5">
        <f>IF(B12&gt;=80,0,B13-B9)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  <c r="I5" s="15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  <c r="I6" s="15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  <c r="I7" s="15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  <c r="I8" s="15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  <c r="I9" s="15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  <c r="I10" s="15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  <c r="I11" s="15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  <c r="I12" s="15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  <c r="I13" s="15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  <c r="I14" s="15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  <c r="I15" s="15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  <c r="I16" s="15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  <c r="I17" s="15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  <c r="I18" s="15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  <c r="I19" s="15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  <c r="I20" s="15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  <c r="I21" s="15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  <c r="I22" s="15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  <c r="I23" s="15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  <c r="I24" s="15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  <c r="I25" s="15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  <c r="I26" s="15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  <c r="I27" s="15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  <c r="I28" s="15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  <c r="I29" s="15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  <c r="I30" s="15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  <c r="I31" s="15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  <c r="I32" s="15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  <c r="I33" s="15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  <c r="I34" s="15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  <c r="I35" s="15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  <c r="I36" s="15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  <c r="I37" s="15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  <c r="I38" s="15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  <c r="I39" s="15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  <c r="I40" s="15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  <c r="I41" s="15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  <c r="I42" s="15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  <c r="I43" s="15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  <c r="I44" s="15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  <c r="I45" s="15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  <c r="I46" s="15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  <c r="I47" s="15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  <c r="I48" s="15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  <c r="I49" s="15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  <c r="I50" s="15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  <c r="I51" s="15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  <c r="I52" s="15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  <c r="I53" s="15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  <c r="I5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1" t="inlineStr">
        <is>
          <t>Progresso Medaglie</t>
        </is>
      </c>
    </row>
    <row r="2">
      <c r="A2" t="inlineStr">
        <is>
          <t>Inserisci il progresso attuale (colonna D). Tier e % verso il prossimo livello sono automatici.</t>
        </is>
      </c>
    </row>
    <row r="4">
      <c r="A4" s="8" t="inlineStr">
        <is>
          <t>Medaglia</t>
        </is>
      </c>
      <c r="B4" s="8" t="inlineStr">
        <is>
          <t>Categoria</t>
        </is>
      </c>
      <c r="C4" s="8" t="inlineStr">
        <is>
          <t>Descrizione</t>
        </is>
      </c>
      <c r="D4" s="8" t="inlineStr">
        <is>
          <t>Progresso</t>
        </is>
      </c>
      <c r="E4" s="8" t="inlineStr">
        <is>
          <t>Bronzo</t>
        </is>
      </c>
      <c r="F4" s="8" t="inlineStr">
        <is>
          <t>Argento</t>
        </is>
      </c>
      <c r="G4" s="8" t="inlineStr">
        <is>
          <t>Oro</t>
        </is>
      </c>
      <c r="H4" s="8" t="inlineStr">
        <is>
          <t>Platino</t>
        </is>
      </c>
      <c r="I4" s="8" t="inlineStr">
        <is>
          <t>Tier</t>
        </is>
      </c>
      <c r="J4" s="8" t="inlineStr">
        <is>
          <t>% Prossimo</t>
        </is>
      </c>
    </row>
    <row r="5">
      <c r="A5" s="3" t="inlineStr">
        <is>
          <t>Podista</t>
        </is>
      </c>
      <c r="B5" s="3" t="inlineStr">
        <is>
          <t>Attività</t>
        </is>
      </c>
      <c r="C5" s="3" t="inlineStr">
        <is>
          <t>Km percorsi</t>
        </is>
      </c>
      <c r="D5" s="16" t="n">
        <v>0</v>
      </c>
      <c r="E5" s="17" t="n">
        <v>10</v>
      </c>
      <c r="F5" s="17" t="n">
        <v>100</v>
      </c>
      <c r="G5" s="17" t="n">
        <v>1000</v>
      </c>
      <c r="H5" s="17" t="n">
        <v>10000</v>
      </c>
      <c r="I5" s="7">
        <f>IF(D5&gt;=H5,"Platino",IF(D5&gt;=G5,"Oro",IF(D5&gt;=F5,"Argento",IF(D5&gt;=E5,"Bronzo","Nessuno"))))</f>
        <v/>
      </c>
      <c r="J5" s="6">
        <f>IF(D5&gt;=H5,1,IF(D5&gt;=G5,IF(H5=G5,1,(D5-G5)/(H5-G5)),IF(D5&gt;=F5,IF(G5=F5,1,(D5-F5)/(G5-F5)),IF(D5&gt;=E5,IF(F5=E5,1,(D5-E5)/(F5-E5)),IF(E5=0,0,D5/E5)))))</f>
        <v/>
      </c>
    </row>
    <row r="6">
      <c r="A6" s="3" t="inlineStr">
        <is>
          <t>Kanto</t>
        </is>
      </c>
      <c r="B6" s="3" t="inlineStr">
        <is>
          <t>Pokédex</t>
        </is>
      </c>
      <c r="C6" s="3" t="inlineStr">
        <is>
          <t>Pokémon Kanto registrati</t>
        </is>
      </c>
      <c r="D6" s="16" t="n">
        <v>0</v>
      </c>
      <c r="E6" s="17" t="n">
        <v>5</v>
      </c>
      <c r="F6" s="17" t="n">
        <v>50</v>
      </c>
      <c r="G6" s="17" t="n">
        <v>100</v>
      </c>
      <c r="H6" s="17" t="n">
        <v>151</v>
      </c>
      <c r="I6" s="7">
        <f>IF(D6&gt;=H6,"Platino",IF(D6&gt;=G6,"Oro",IF(D6&gt;=F6,"Argento",IF(D6&gt;=E6,"Bronzo","Nessuno"))))</f>
        <v/>
      </c>
      <c r="J6" s="6">
        <f>IF(D6&gt;=H6,1,IF(D6&gt;=G6,IF(H6=G6,1,(D6-G6)/(H6-G6)),IF(D6&gt;=F6,IF(G6=F6,1,(D6-F6)/(G6-F6)),IF(D6&gt;=E6,IF(F6=E6,1,(D6-E6)/(F6-E6)),IF(E6=0,0,D6/E6)))))</f>
        <v/>
      </c>
    </row>
    <row r="7">
      <c r="A7" s="3" t="inlineStr">
        <is>
          <t>Collezionista</t>
        </is>
      </c>
      <c r="B7" s="3" t="inlineStr">
        <is>
          <t>Attività</t>
        </is>
      </c>
      <c r="C7" s="3" t="inlineStr">
        <is>
          <t>Pokémon catturati</t>
        </is>
      </c>
      <c r="D7" s="16" t="n">
        <v>0</v>
      </c>
      <c r="E7" s="17" t="n">
        <v>30</v>
      </c>
      <c r="F7" s="17" t="n">
        <v>500</v>
      </c>
      <c r="G7" s="17" t="n">
        <v>2000</v>
      </c>
      <c r="H7" s="17" t="n">
        <v>50000</v>
      </c>
      <c r="I7" s="7">
        <f>IF(D7&gt;=H7,"Platino",IF(D7&gt;=G7,"Oro",IF(D7&gt;=F7,"Argento",IF(D7&gt;=E7,"Bronzo","Nessuno"))))</f>
        <v/>
      </c>
      <c r="J7" s="6">
        <f>IF(D7&gt;=H7,1,IF(D7&gt;=G7,IF(H7=G7,1,(D7-G7)/(H7-G7)),IF(D7&gt;=F7,IF(G7=F7,1,(D7-F7)/(G7-F7)),IF(D7&gt;=E7,IF(F7=E7,1,(D7-E7)/(F7-E7)),IF(E7=0,0,D7/E7)))))</f>
        <v/>
      </c>
    </row>
    <row r="8">
      <c r="A8" s="3" t="inlineStr">
        <is>
          <t>Scienziato</t>
        </is>
      </c>
      <c r="B8" s="3" t="inlineStr">
        <is>
          <t>Attività</t>
        </is>
      </c>
      <c r="C8" s="3" t="inlineStr">
        <is>
          <t>Pokémon evoluti</t>
        </is>
      </c>
      <c r="D8" s="16" t="n">
        <v>0</v>
      </c>
      <c r="E8" s="17" t="n">
        <v>3</v>
      </c>
      <c r="F8" s="17" t="n">
        <v>20</v>
      </c>
      <c r="G8" s="17" t="n">
        <v>200</v>
      </c>
      <c r="H8" s="17" t="n">
        <v>2000</v>
      </c>
      <c r="I8" s="7">
        <f>IF(D8&gt;=H8,"Platino",IF(D8&gt;=G8,"Oro",IF(D8&gt;=F8,"Argento",IF(D8&gt;=E8,"Bronzo","Nessuno"))))</f>
        <v/>
      </c>
      <c r="J8" s="6">
        <f>IF(D8&gt;=H8,1,IF(D8&gt;=G8,IF(H8=G8,1,(D8-G8)/(H8-G8)),IF(D8&gt;=F8,IF(G8=F8,1,(D8-F8)/(G8-F8)),IF(D8&gt;=E8,IF(F8=E8,1,(D8-E8)/(F8-E8)),IF(E8=0,0,D8/E8)))))</f>
        <v/>
      </c>
    </row>
    <row r="9">
      <c r="A9" s="3" t="inlineStr">
        <is>
          <t>Allevatore</t>
        </is>
      </c>
      <c r="B9" s="3" t="inlineStr">
        <is>
          <t>Attività</t>
        </is>
      </c>
      <c r="C9" s="3" t="inlineStr">
        <is>
          <t>Uova schiuse</t>
        </is>
      </c>
      <c r="D9" s="16" t="n">
        <v>0</v>
      </c>
      <c r="E9" s="17" t="n">
        <v>10</v>
      </c>
      <c r="F9" s="17" t="n">
        <v>100</v>
      </c>
      <c r="G9" s="17" t="n">
        <v>500</v>
      </c>
      <c r="H9" s="17" t="n">
        <v>2500</v>
      </c>
      <c r="I9" s="7">
        <f>IF(D9&gt;=H9,"Platino",IF(D9&gt;=G9,"Oro",IF(D9&gt;=F9,"Argento",IF(D9&gt;=E9,"Bronzo","Nessuno"))))</f>
        <v/>
      </c>
      <c r="J9" s="6">
        <f>IF(D9&gt;=H9,1,IF(D9&gt;=G9,IF(H9=G9,1,(D9-G9)/(H9-G9)),IF(D9&gt;=F9,IF(G9=F9,1,(D9-F9)/(G9-F9)),IF(D9&gt;=E9,IF(F9=E9,1,(D9-E9)/(F9-E9)),IF(E9=0,0,D9/E9)))))</f>
        <v/>
      </c>
    </row>
    <row r="10">
      <c r="A10" s="3" t="inlineStr">
        <is>
          <t>Zaino</t>
        </is>
      </c>
      <c r="B10" s="3" t="inlineStr">
        <is>
          <t>Attività</t>
        </is>
      </c>
      <c r="C10" s="3" t="inlineStr">
        <is>
          <t>PokéStop visitate</t>
        </is>
      </c>
      <c r="D10" s="16" t="n">
        <v>0</v>
      </c>
      <c r="E10" s="17" t="n">
        <v>100</v>
      </c>
      <c r="F10" s="17" t="n">
        <v>1000</v>
      </c>
      <c r="G10" s="17" t="n">
        <v>2000</v>
      </c>
      <c r="H10" s="17" t="n">
        <v>50000</v>
      </c>
      <c r="I10" s="7">
        <f>IF(D10&gt;=H10,"Platino",IF(D10&gt;=G10,"Oro",IF(D10&gt;=F10,"Argento",IF(D10&gt;=E10,"Bronzo","Nessuno"))))</f>
        <v/>
      </c>
      <c r="J10" s="6">
        <f>IF(D10&gt;=H10,1,IF(D10&gt;=G10,IF(H10=G10,1,(D10-G10)/(H10-G10)),IF(D10&gt;=F10,IF(G10=F10,1,(D10-F10)/(G10-F10)),IF(D10&gt;=E10,IF(F10=E10,1,(D10-E10)/(F10-E10)),IF(E10=0,0,D10/E10)))))</f>
        <v/>
      </c>
    </row>
    <row r="11">
      <c r="A11" s="3" t="inlineStr">
        <is>
          <t>Turista</t>
        </is>
      </c>
      <c r="B11" s="3" t="inlineStr">
        <is>
          <t>Attività</t>
        </is>
      </c>
      <c r="C11" s="3" t="inlineStr">
        <is>
          <t>PokéStop uniche visitate</t>
        </is>
      </c>
      <c r="D11" s="16" t="n">
        <v>0</v>
      </c>
      <c r="E11" s="17" t="n">
        <v>10</v>
      </c>
      <c r="F11" s="17" t="n">
        <v>100</v>
      </c>
      <c r="G11" s="17" t="n">
        <v>1000</v>
      </c>
      <c r="H11" s="17" t="n">
        <v>2000</v>
      </c>
      <c r="I11" s="7">
        <f>IF(D11&gt;=H11,"Platino",IF(D11&gt;=G11,"Oro",IF(D11&gt;=F11,"Argento",IF(D11&gt;=E11,"Bronzo","Nessuno"))))</f>
        <v/>
      </c>
      <c r="J11" s="6">
        <f>IF(D11&gt;=H11,1,IF(D11&gt;=G11,IF(H11=G11,1,(D11-G11)/(H11-G11)),IF(D11&gt;=F11,IF(G11=F11,1,(D11-F11)/(G11-F11)),IF(D11&gt;=E11,IF(F11=E11,1,(D11-E11)/(F11-E11)),IF(E11=0,0,D11/E11)))))</f>
        <v/>
      </c>
    </row>
    <row r="12">
      <c r="A12" s="3" t="inlineStr">
        <is>
          <t>Pescatore</t>
        </is>
      </c>
      <c r="B12" s="3" t="inlineStr">
        <is>
          <t>Attività</t>
        </is>
      </c>
      <c r="C12" s="3" t="inlineStr">
        <is>
          <t>Magikarp enormi catturati</t>
        </is>
      </c>
      <c r="D12" s="16" t="n">
        <v>0</v>
      </c>
      <c r="E12" s="17" t="n">
        <v>3</v>
      </c>
      <c r="F12" s="17" t="n">
        <v>50</v>
      </c>
      <c r="G12" s="17" t="n">
        <v>300</v>
      </c>
      <c r="H12" s="17" t="n">
        <v>1000</v>
      </c>
      <c r="I12" s="7">
        <f>IF(D12&gt;=H12,"Platino",IF(D12&gt;=G12,"Oro",IF(D12&gt;=F12,"Argento",IF(D12&gt;=E12,"Bronzo","Nessuno"))))</f>
        <v/>
      </c>
      <c r="J12" s="6">
        <f>IF(D12&gt;=H12,1,IF(D12&gt;=G12,IF(H12=G12,1,(D12-G12)/(H12-G12)),IF(D12&gt;=F12,IF(G12=F12,1,(D12-F12)/(G12-F12)),IF(D12&gt;=E12,IF(F12=E12,1,(D12-E12)/(F12-E12)),IF(E12=0,0,D12/E12)))))</f>
        <v/>
      </c>
    </row>
    <row r="13">
      <c r="A13" s="3" t="inlineStr">
        <is>
          <t>Combattente</t>
        </is>
      </c>
      <c r="B13" s="3" t="inlineStr">
        <is>
          <t>Battaglia</t>
        </is>
      </c>
      <c r="C13" s="3" t="inlineStr">
        <is>
          <t>Battaglie in palestra vinte</t>
        </is>
      </c>
      <c r="D13" s="16" t="n">
        <v>0</v>
      </c>
      <c r="E13" s="17" t="n">
        <v>10</v>
      </c>
      <c r="F13" s="17" t="n">
        <v>100</v>
      </c>
      <c r="G13" s="17" t="n">
        <v>1000</v>
      </c>
      <c r="H13" s="17" t="n">
        <v>4000</v>
      </c>
      <c r="I13" s="7">
        <f>IF(D13&gt;=H13,"Platino",IF(D13&gt;=G13,"Oro",IF(D13&gt;=F13,"Argento",IF(D13&gt;=E13,"Bronzo","Nessuno"))))</f>
        <v/>
      </c>
      <c r="J13" s="6">
        <f>IF(D13&gt;=H13,1,IF(D13&gt;=G13,IF(H13=G13,1,(D13-G13)/(H13-G13)),IF(D13&gt;=F13,IF(G13=F13,1,(D13-F13)/(G13-F13)),IF(D13&gt;=E13,IF(F13=E13,1,(D13-E13)/(F13-E13)),IF(E13=0,0,D13/E13)))))</f>
        <v/>
      </c>
    </row>
    <row r="14">
      <c r="A14" s="3" t="inlineStr">
        <is>
          <t>Asso</t>
        </is>
      </c>
      <c r="B14" s="3" t="inlineStr">
        <is>
          <t>Battaglia</t>
        </is>
      </c>
      <c r="C14" s="3" t="inlineStr">
        <is>
          <t>Sessioni di addestramento</t>
        </is>
      </c>
      <c r="D14" s="16" t="n">
        <v>0</v>
      </c>
      <c r="E14" s="17" t="n">
        <v>10</v>
      </c>
      <c r="F14" s="17" t="n">
        <v>100</v>
      </c>
      <c r="G14" s="17" t="n">
        <v>1000</v>
      </c>
      <c r="H14" s="17" t="n">
        <v>2000</v>
      </c>
      <c r="I14" s="7">
        <f>IF(D14&gt;=H14,"Platino",IF(D14&gt;=G14,"Oro",IF(D14&gt;=F14,"Argento",IF(D14&gt;=E14,"Bronzo","Nessuno"))))</f>
        <v/>
      </c>
      <c r="J14" s="6">
        <f>IF(D14&gt;=H14,1,IF(D14&gt;=G14,IF(H14=G14,1,(D14-G14)/(H14-G14)),IF(D14&gt;=F14,IF(G14=F14,1,(D14-F14)/(G14-F14)),IF(D14&gt;=E14,IF(F14=E14,1,(D14-E14)/(F14-E14)),IF(E14=0,0,D14/E14)))))</f>
        <v/>
      </c>
    </row>
    <row r="15">
      <c r="A15" s="3" t="inlineStr">
        <is>
          <t>Giovanotto</t>
        </is>
      </c>
      <c r="B15" s="3" t="inlineStr">
        <is>
          <t>Attività</t>
        </is>
      </c>
      <c r="C15" s="3" t="inlineStr">
        <is>
          <t>Rattata minuscoli catturati</t>
        </is>
      </c>
      <c r="D15" s="16" t="n">
        <v>0</v>
      </c>
      <c r="E15" s="17" t="n">
        <v>3</v>
      </c>
      <c r="F15" s="17" t="n">
        <v>50</v>
      </c>
      <c r="G15" s="17" t="n">
        <v>300</v>
      </c>
      <c r="H15" s="17" t="n">
        <v>1000</v>
      </c>
      <c r="I15" s="7">
        <f>IF(D15&gt;=H15,"Platino",IF(D15&gt;=G15,"Oro",IF(D15&gt;=F15,"Argento",IF(D15&gt;=E15,"Bronzo","Nessuno"))))</f>
        <v/>
      </c>
      <c r="J15" s="6">
        <f>IF(D15&gt;=H15,1,IF(D15&gt;=G15,IF(H15=G15,1,(D15-G15)/(H15-G15)),IF(D15&gt;=F15,IF(G15=F15,1,(D15-F15)/(G15-F15)),IF(D15&gt;=E15,IF(F15=E15,1,(D15-E15)/(F15-E15)),IF(E15=0,0,D15/E15)))))</f>
        <v/>
      </c>
    </row>
    <row r="16">
      <c r="A16" s="3" t="inlineStr">
        <is>
          <t>Fan di Pikachu</t>
        </is>
      </c>
      <c r="B16" s="3" t="inlineStr">
        <is>
          <t>Speciale</t>
        </is>
      </c>
      <c r="C16" s="3" t="inlineStr">
        <is>
          <t>Pikachu catturati</t>
        </is>
      </c>
      <c r="D16" s="16" t="n">
        <v>0</v>
      </c>
      <c r="E16" s="17" t="n">
        <v>3</v>
      </c>
      <c r="F16" s="17" t="n">
        <v>50</v>
      </c>
      <c r="G16" s="17" t="n">
        <v>300</v>
      </c>
      <c r="H16" s="17" t="n">
        <v>1000</v>
      </c>
      <c r="I16" s="7">
        <f>IF(D16&gt;=H16,"Platino",IF(D16&gt;=G16,"Oro",IF(D16&gt;=F16,"Argento",IF(D16&gt;=E16,"Bronzo","Nessuno"))))</f>
        <v/>
      </c>
      <c r="J16" s="6">
        <f>IF(D16&gt;=H16,1,IF(D16&gt;=G16,IF(H16=G16,1,(D16-G16)/(H16-G16)),IF(D16&gt;=F16,IF(G16=F16,1,(D16-F16)/(G16-F16)),IF(D16&gt;=E16,IF(F16=E16,1,(D16-E16)/(F16-E16)),IF(E16=0,0,D16/E16)))))</f>
        <v/>
      </c>
    </row>
    <row r="17">
      <c r="A17" s="3" t="inlineStr">
        <is>
          <t>Unown</t>
        </is>
      </c>
      <c r="B17" s="3" t="inlineStr">
        <is>
          <t>Speciale</t>
        </is>
      </c>
      <c r="C17" s="3" t="inlineStr">
        <is>
          <t>Forme Unown uniche catturate</t>
        </is>
      </c>
      <c r="D17" s="16" t="n">
        <v>0</v>
      </c>
      <c r="E17" s="17" t="n">
        <v>3</v>
      </c>
      <c r="F17" s="17" t="n">
        <v>10</v>
      </c>
      <c r="G17" s="17" t="n">
        <v>26</v>
      </c>
      <c r="H17" s="17" t="n">
        <v>28</v>
      </c>
      <c r="I17" s="7">
        <f>IF(D17&gt;=H17,"Platino",IF(D17&gt;=G17,"Oro",IF(D17&gt;=F17,"Argento",IF(D17&gt;=E17,"Bronzo","Nessuno"))))</f>
        <v/>
      </c>
      <c r="J17" s="6">
        <f>IF(D17&gt;=H17,1,IF(D17&gt;=G17,IF(H17=G17,1,(D17-G17)/(H17-G17)),IF(D17&gt;=F17,IF(G17=F17,1,(D17-F17)/(G17-F17)),IF(D17&gt;=E17,IF(F17=E17,1,(D17-E17)/(F17-E17)),IF(E17=0,0,D17/E17)))))</f>
        <v/>
      </c>
    </row>
    <row r="18">
      <c r="A18" s="3" t="inlineStr">
        <is>
          <t>Johto</t>
        </is>
      </c>
      <c r="B18" s="3" t="inlineStr">
        <is>
          <t>Pokédex</t>
        </is>
      </c>
      <c r="C18" s="3" t="inlineStr">
        <is>
          <t>Pokémon Johto registrati</t>
        </is>
      </c>
      <c r="D18" s="16" t="n">
        <v>0</v>
      </c>
      <c r="E18" s="17" t="n">
        <v>5</v>
      </c>
      <c r="F18" s="17" t="n">
        <v>30</v>
      </c>
      <c r="G18" s="17" t="n">
        <v>70</v>
      </c>
      <c r="H18" s="17" t="n">
        <v>100</v>
      </c>
      <c r="I18" s="7">
        <f>IF(D18&gt;=H18,"Platino",IF(D18&gt;=G18,"Oro",IF(D18&gt;=F18,"Argento",IF(D18&gt;=E18,"Bronzo","Nessuno"))))</f>
        <v/>
      </c>
      <c r="J18" s="6">
        <f>IF(D18&gt;=H18,1,IF(D18&gt;=G18,IF(H18=G18,1,(D18-G18)/(H18-G18)),IF(D18&gt;=F18,IF(G18=F18,1,(D18-F18)/(G18-F18)),IF(D18&gt;=E18,IF(F18=E18,1,(D18-E18)/(F18-E18)),IF(E18=0,0,D18/E18)))))</f>
        <v/>
      </c>
    </row>
    <row r="19">
      <c r="A19" s="3" t="inlineStr">
        <is>
          <t>Campione</t>
        </is>
      </c>
      <c r="B19" s="3" t="inlineStr">
        <is>
          <t>Battaglia</t>
        </is>
      </c>
      <c r="C19" s="3" t="inlineStr">
        <is>
          <t>Raid vinti</t>
        </is>
      </c>
      <c r="D19" s="16" t="n">
        <v>0</v>
      </c>
      <c r="E19" s="17" t="n">
        <v>10</v>
      </c>
      <c r="F19" s="17" t="n">
        <v>100</v>
      </c>
      <c r="G19" s="17" t="n">
        <v>1000</v>
      </c>
      <c r="H19" s="17" t="n">
        <v>2000</v>
      </c>
      <c r="I19" s="7">
        <f>IF(D19&gt;=H19,"Platino",IF(D19&gt;=G19,"Oro",IF(D19&gt;=F19,"Argento",IF(D19&gt;=E19,"Bronzo","Nessuno"))))</f>
        <v/>
      </c>
      <c r="J19" s="6">
        <f>IF(D19&gt;=H19,1,IF(D19&gt;=G19,IF(H19=G19,1,(D19-G19)/(H19-G19)),IF(D19&gt;=F19,IF(G19=F19,1,(D19-F19)/(G19-F19)),IF(D19&gt;=E19,IF(F19=E19,1,(D19-E19)/(F19-E19)),IF(E19=0,0,D19/E19)))))</f>
        <v/>
      </c>
    </row>
    <row r="20">
      <c r="A20" s="3" t="inlineStr">
        <is>
          <t>Leggenda delle lotte</t>
        </is>
      </c>
      <c r="B20" s="3" t="inlineStr">
        <is>
          <t>Battaglia</t>
        </is>
      </c>
      <c r="C20" s="3" t="inlineStr">
        <is>
          <t>Raid leggendari vinti</t>
        </is>
      </c>
      <c r="D20" s="16" t="n">
        <v>0</v>
      </c>
      <c r="E20" s="17" t="n">
        <v>10</v>
      </c>
      <c r="F20" s="17" t="n">
        <v>100</v>
      </c>
      <c r="G20" s="17" t="n">
        <v>1000</v>
      </c>
      <c r="H20" s="17" t="n">
        <v>2000</v>
      </c>
      <c r="I20" s="7">
        <f>IF(D20&gt;=H20,"Platino",IF(D20&gt;=G20,"Oro",IF(D20&gt;=F20,"Argento",IF(D20&gt;=E20,"Bronzo","Nessuno"))))</f>
        <v/>
      </c>
      <c r="J20" s="6">
        <f>IF(D20&gt;=H20,1,IF(D20&gt;=G20,IF(H20=G20,1,(D20-G20)/(H20-G20)),IF(D20&gt;=F20,IF(G20=F20,1,(D20-F20)/(G20-F20)),IF(D20&gt;=E20,IF(F20=E20,1,(D20-E20)/(F20-E20)),IF(E20=0,0,D20/E20)))))</f>
        <v/>
      </c>
    </row>
    <row r="21">
      <c r="A21" s="3" t="inlineStr">
        <is>
          <t>Esperto Bacche</t>
        </is>
      </c>
      <c r="B21" s="3" t="inlineStr">
        <is>
          <t>Attività</t>
        </is>
      </c>
      <c r="C21" s="3" t="inlineStr">
        <is>
          <t>Bacche date in palestra</t>
        </is>
      </c>
      <c r="D21" s="16" t="n">
        <v>0</v>
      </c>
      <c r="E21" s="17" t="n">
        <v>10</v>
      </c>
      <c r="F21" s="17" t="n">
        <v>100</v>
      </c>
      <c r="G21" s="17" t="n">
        <v>1000</v>
      </c>
      <c r="H21" s="17" t="n">
        <v>15000</v>
      </c>
      <c r="I21" s="7">
        <f>IF(D21&gt;=H21,"Platino",IF(D21&gt;=G21,"Oro",IF(D21&gt;=F21,"Argento",IF(D21&gt;=E21,"Bronzo","Nessuno"))))</f>
        <v/>
      </c>
      <c r="J21" s="6">
        <f>IF(D21&gt;=H21,1,IF(D21&gt;=G21,IF(H21=G21,1,(D21-G21)/(H21-G21)),IF(D21&gt;=F21,IF(G21=F21,1,(D21-F21)/(G21-F21)),IF(D21&gt;=E21,IF(F21=E21,1,(D21-E21)/(F21-E21)),IF(E21=0,0,D21/E21)))))</f>
        <v/>
      </c>
    </row>
    <row r="22">
      <c r="A22" s="3" t="inlineStr">
        <is>
          <t>Capopalestra</t>
        </is>
      </c>
      <c r="B22" s="3" t="inlineStr">
        <is>
          <t>Battaglia</t>
        </is>
      </c>
      <c r="C22" s="3" t="inlineStr">
        <is>
          <t>Ore di difesa palestra</t>
        </is>
      </c>
      <c r="D22" s="16" t="n">
        <v>0</v>
      </c>
      <c r="E22" s="17" t="n">
        <v>10</v>
      </c>
      <c r="F22" s="17" t="n">
        <v>100</v>
      </c>
      <c r="G22" s="17" t="n">
        <v>1000</v>
      </c>
      <c r="H22" s="17" t="n">
        <v>15000</v>
      </c>
      <c r="I22" s="7">
        <f>IF(D22&gt;=H22,"Platino",IF(D22&gt;=G22,"Oro",IF(D22&gt;=F22,"Argento",IF(D22&gt;=E22,"Bronzo","Nessuno"))))</f>
        <v/>
      </c>
      <c r="J22" s="6">
        <f>IF(D22&gt;=H22,1,IF(D22&gt;=G22,IF(H22=G22,1,(D22-G22)/(H22-G22)),IF(D22&gt;=F22,IF(G22=F22,1,(D22-F22)/(G22-F22)),IF(D22&gt;=E22,IF(F22=E22,1,(D22-E22)/(F22-E22)),IF(E22=0,0,D22/E22)))))</f>
        <v/>
      </c>
    </row>
    <row r="23">
      <c r="A23" s="3" t="inlineStr">
        <is>
          <t>Hoenn</t>
        </is>
      </c>
      <c r="B23" s="3" t="inlineStr">
        <is>
          <t>Pokédex</t>
        </is>
      </c>
      <c r="C23" s="3" t="inlineStr">
        <is>
          <t>Pokémon Hoenn registrati</t>
        </is>
      </c>
      <c r="D23" s="16" t="n">
        <v>0</v>
      </c>
      <c r="E23" s="17" t="n">
        <v>5</v>
      </c>
      <c r="F23" s="17" t="n">
        <v>40</v>
      </c>
      <c r="G23" s="17" t="n">
        <v>90</v>
      </c>
      <c r="H23" s="17" t="n">
        <v>135</v>
      </c>
      <c r="I23" s="7">
        <f>IF(D23&gt;=H23,"Platino",IF(D23&gt;=G23,"Oro",IF(D23&gt;=F23,"Argento",IF(D23&gt;=E23,"Bronzo","Nessuno"))))</f>
        <v/>
      </c>
      <c r="J23" s="6">
        <f>IF(D23&gt;=H23,1,IF(D23&gt;=G23,IF(H23=G23,1,(D23-G23)/(H23-G23)),IF(D23&gt;=F23,IF(G23=F23,1,(D23-F23)/(G23-F23)),IF(D23&gt;=E23,IF(F23=E23,1,(D23-E23)/(F23-E23)),IF(E23=0,0,D23/E23)))))</f>
        <v/>
      </c>
    </row>
    <row r="24">
      <c r="A24" s="3" t="inlineStr">
        <is>
          <t>Ranger</t>
        </is>
      </c>
      <c r="B24" s="3" t="inlineStr">
        <is>
          <t>Attività</t>
        </is>
      </c>
      <c r="C24" s="3" t="inlineStr">
        <is>
          <t>Ricerche sul campo completate</t>
        </is>
      </c>
      <c r="D24" s="16" t="n">
        <v>0</v>
      </c>
      <c r="E24" s="17" t="n">
        <v>10</v>
      </c>
      <c r="F24" s="17" t="n">
        <v>100</v>
      </c>
      <c r="G24" s="17" t="n">
        <v>1000</v>
      </c>
      <c r="H24" s="17" t="n">
        <v>2500</v>
      </c>
      <c r="I24" s="7">
        <f>IF(D24&gt;=H24,"Platino",IF(D24&gt;=G24,"Oro",IF(D24&gt;=F24,"Argento",IF(D24&gt;=E24,"Bronzo","Nessuno"))))</f>
        <v/>
      </c>
      <c r="J24" s="6">
        <f>IF(D24&gt;=H24,1,IF(D24&gt;=G24,IF(H24=G24,1,(D24-G24)/(H24-G24)),IF(D24&gt;=F24,IF(G24=F24,1,(D24-F24)/(G24-F24)),IF(D24&gt;=E24,IF(F24=E24,1,(D24-E24)/(F24-E24)),IF(E24=0,0,D24/E24)))))</f>
        <v/>
      </c>
    </row>
    <row r="25">
      <c r="A25" s="3" t="inlineStr">
        <is>
          <t>Idolo</t>
        </is>
      </c>
      <c r="B25" s="3" t="inlineStr">
        <is>
          <t>Sociale</t>
        </is>
      </c>
      <c r="C25" s="3" t="inlineStr">
        <is>
          <t>Migliori amici raggiunti</t>
        </is>
      </c>
      <c r="D25" s="16" t="n">
        <v>0</v>
      </c>
      <c r="E25" s="17" t="n">
        <v>1</v>
      </c>
      <c r="F25" s="17" t="n">
        <v>2</v>
      </c>
      <c r="G25" s="17" t="n">
        <v>3</v>
      </c>
      <c r="H25" s="17" t="n">
        <v>20</v>
      </c>
      <c r="I25" s="7">
        <f>IF(D25&gt;=H25,"Platino",IF(D25&gt;=G25,"Oro",IF(D25&gt;=F25,"Argento",IF(D25&gt;=E25,"Bronzo","Nessuno"))))</f>
        <v/>
      </c>
      <c r="J25" s="6">
        <f>IF(D25&gt;=H25,1,IF(D25&gt;=G25,IF(H25=G25,1,(D25-G25)/(H25-G25)),IF(D25&gt;=F25,IF(G25=F25,1,(D25-F25)/(G25-F25)),IF(D25&gt;=E25,IF(F25=E25,1,(D25-E25)/(F25-E25)),IF(E25=0,0,D25/E25)))))</f>
        <v/>
      </c>
    </row>
    <row r="26">
      <c r="A26" s="3" t="inlineStr">
        <is>
          <t>Gentiluomo</t>
        </is>
      </c>
      <c r="B26" s="3" t="inlineStr">
        <is>
          <t>Sociale</t>
        </is>
      </c>
      <c r="C26" s="3" t="inlineStr">
        <is>
          <t>Scambi Pokémon</t>
        </is>
      </c>
      <c r="D26" s="16" t="n">
        <v>0</v>
      </c>
      <c r="E26" s="17" t="n">
        <v>10</v>
      </c>
      <c r="F26" s="17" t="n">
        <v>100</v>
      </c>
      <c r="G26" s="17" t="n">
        <v>1000</v>
      </c>
      <c r="H26" s="17" t="n">
        <v>2500</v>
      </c>
      <c r="I26" s="7">
        <f>IF(D26&gt;=H26,"Platino",IF(D26&gt;=G26,"Oro",IF(D26&gt;=F26,"Argento",IF(D26&gt;=E26,"Bronzo","Nessuno"))))</f>
        <v/>
      </c>
      <c r="J26" s="6">
        <f>IF(D26&gt;=H26,1,IF(D26&gt;=G26,IF(H26=G26,1,(D26-G26)/(H26-G26)),IF(D26&gt;=F26,IF(G26=F26,1,(D26-F26)/(G26-F26)),IF(D26&gt;=E26,IF(F26=E26,1,(D26-E26)/(F26-E26)),IF(E26=0,0,D26/E26)))))</f>
        <v/>
      </c>
    </row>
    <row r="27">
      <c r="A27" s="3" t="inlineStr">
        <is>
          <t>Pilota</t>
        </is>
      </c>
      <c r="B27" s="3" t="inlineStr">
        <is>
          <t>Sociale</t>
        </is>
      </c>
      <c r="C27" s="3" t="inlineStr">
        <is>
          <t>Km totali degli scambi</t>
        </is>
      </c>
      <c r="D27" s="16" t="n">
        <v>0</v>
      </c>
      <c r="E27" s="17" t="n">
        <v>1000</v>
      </c>
      <c r="F27" s="17" t="n">
        <v>100000</v>
      </c>
      <c r="G27" s="17" t="n">
        <v>1000000</v>
      </c>
      <c r="H27" s="17" t="n">
        <v>10000000</v>
      </c>
      <c r="I27" s="7">
        <f>IF(D27&gt;=H27,"Platino",IF(D27&gt;=G27,"Oro",IF(D27&gt;=F27,"Argento",IF(D27&gt;=E27,"Bronzo","Nessuno"))))</f>
        <v/>
      </c>
      <c r="J27" s="6">
        <f>IF(D27&gt;=H27,1,IF(D27&gt;=G27,IF(H27=G27,1,(D27-G27)/(H27-G27)),IF(D27&gt;=F27,IF(G27=F27,1,(D27-F27)/(G27-F27)),IF(D27&gt;=E27,IF(F27=E27,1,(D27-E27)/(F27-E27)),IF(E27=0,0,D27/E27)))))</f>
        <v/>
      </c>
    </row>
    <row r="28">
      <c r="A28" s="3" t="inlineStr">
        <is>
          <t>Sinnoh</t>
        </is>
      </c>
      <c r="B28" s="3" t="inlineStr">
        <is>
          <t>Pokédex</t>
        </is>
      </c>
      <c r="C28" s="3" t="inlineStr">
        <is>
          <t>Pokémon Sinnoh registrati</t>
        </is>
      </c>
      <c r="D28" s="16" t="n">
        <v>0</v>
      </c>
      <c r="E28" s="17" t="n">
        <v>5</v>
      </c>
      <c r="F28" s="17" t="n">
        <v>30</v>
      </c>
      <c r="G28" s="17" t="n">
        <v>80</v>
      </c>
      <c r="H28" s="17" t="n">
        <v>107</v>
      </c>
      <c r="I28" s="7">
        <f>IF(D28&gt;=H28,"Platino",IF(D28&gt;=G28,"Oro",IF(D28&gt;=F28,"Argento",IF(D28&gt;=E28,"Bronzo","Nessuno"))))</f>
        <v/>
      </c>
      <c r="J28" s="6">
        <f>IF(D28&gt;=H28,1,IF(D28&gt;=G28,IF(H28=G28,1,(D28-G28)/(H28-G28)),IF(D28&gt;=F28,IF(G28=F28,1,(D28-F28)/(G28-F28)),IF(D28&gt;=E28,IF(F28=E28,1,(D28-E28)/(F28-E28)),IF(E28=0,0,D28/E28)))))</f>
        <v/>
      </c>
    </row>
    <row r="29">
      <c r="A29" s="3" t="inlineStr">
        <is>
          <t>Veterano Lega Grande</t>
        </is>
      </c>
      <c r="B29" s="3" t="inlineStr">
        <is>
          <t>Battaglia</t>
        </is>
      </c>
      <c r="C29" s="3" t="inlineStr">
        <is>
          <t>Vittorie in Lega Grande (GBL)</t>
        </is>
      </c>
      <c r="D29" s="16" t="n">
        <v>0</v>
      </c>
      <c r="E29" s="17" t="n">
        <v>5</v>
      </c>
      <c r="F29" s="17" t="n">
        <v>50</v>
      </c>
      <c r="G29" s="17" t="n">
        <v>200</v>
      </c>
      <c r="H29" s="17" t="n">
        <v>1000</v>
      </c>
      <c r="I29" s="7">
        <f>IF(D29&gt;=H29,"Platino",IF(D29&gt;=G29,"Oro",IF(D29&gt;=F29,"Argento",IF(D29&gt;=E29,"Bronzo","Nessuno"))))</f>
        <v/>
      </c>
      <c r="J29" s="6">
        <f>IF(D29&gt;=H29,1,IF(D29&gt;=G29,IF(H29=G29,1,(D29-G29)/(H29-G29)),IF(D29&gt;=F29,IF(G29=F29,1,(D29-F29)/(G29-F29)),IF(D29&gt;=E29,IF(F29=E29,1,(D29-E29)/(F29-E29)),IF(E29=0,0,D29/E29)))))</f>
        <v/>
      </c>
    </row>
    <row r="30">
      <c r="A30" s="3" t="inlineStr">
        <is>
          <t>Veterano Lega Ultra</t>
        </is>
      </c>
      <c r="B30" s="3" t="inlineStr">
        <is>
          <t>Battaglia</t>
        </is>
      </c>
      <c r="C30" s="3" t="inlineStr">
        <is>
          <t>Vittorie in Lega Ultra (GBL)</t>
        </is>
      </c>
      <c r="D30" s="16" t="n">
        <v>0</v>
      </c>
      <c r="E30" s="17" t="n">
        <v>5</v>
      </c>
      <c r="F30" s="17" t="n">
        <v>50</v>
      </c>
      <c r="G30" s="17" t="n">
        <v>200</v>
      </c>
      <c r="H30" s="17" t="n">
        <v>1000</v>
      </c>
      <c r="I30" s="7">
        <f>IF(D30&gt;=H30,"Platino",IF(D30&gt;=G30,"Oro",IF(D30&gt;=F30,"Argento",IF(D30&gt;=E30,"Bronzo","Nessuno"))))</f>
        <v/>
      </c>
      <c r="J30" s="6">
        <f>IF(D30&gt;=H30,1,IF(D30&gt;=G30,IF(H30=G30,1,(D30-G30)/(H30-G30)),IF(D30&gt;=F30,IF(G30=F30,1,(D30-F30)/(G30-F30)),IF(D30&gt;=E30,IF(F30=E30,1,(D30-E30)/(F30-E30)),IF(E30=0,0,D30/E30)))))</f>
        <v/>
      </c>
    </row>
    <row r="31">
      <c r="A31" s="3" t="inlineStr">
        <is>
          <t>Veterano Lega Master</t>
        </is>
      </c>
      <c r="B31" s="3" t="inlineStr">
        <is>
          <t>Battaglia</t>
        </is>
      </c>
      <c r="C31" s="3" t="inlineStr">
        <is>
          <t>Vittorie in Lega Master (GBL)</t>
        </is>
      </c>
      <c r="D31" s="16" t="n">
        <v>0</v>
      </c>
      <c r="E31" s="17" t="n">
        <v>5</v>
      </c>
      <c r="F31" s="17" t="n">
        <v>50</v>
      </c>
      <c r="G31" s="17" t="n">
        <v>200</v>
      </c>
      <c r="H31" s="17" t="n">
        <v>1000</v>
      </c>
      <c r="I31" s="7">
        <f>IF(D31&gt;=H31,"Platino",IF(D31&gt;=G31,"Oro",IF(D31&gt;=F31,"Argento",IF(D31&gt;=E31,"Bronzo","Nessuno"))))</f>
        <v/>
      </c>
      <c r="J31" s="6">
        <f>IF(D31&gt;=H31,1,IF(D31&gt;=G31,IF(H31=G31,1,(D31-G31)/(H31-G31)),IF(D31&gt;=F31,IF(G31=F31,1,(D31-F31)/(G31-F31)),IF(D31&gt;=E31,IF(F31=E31,1,(D31-E31)/(F31-E31)),IF(E31=0,0,D31/E31)))))</f>
        <v/>
      </c>
    </row>
    <row r="32">
      <c r="A32" s="3" t="inlineStr">
        <is>
          <t>Fotografo</t>
        </is>
      </c>
      <c r="B32" s="3" t="inlineStr">
        <is>
          <t>Attività</t>
        </is>
      </c>
      <c r="C32" s="3" t="inlineStr">
        <is>
          <t>Fotobomb in modalità GO Snapshot</t>
        </is>
      </c>
      <c r="D32" s="16" t="n">
        <v>0</v>
      </c>
      <c r="E32" s="17" t="n">
        <v>10</v>
      </c>
      <c r="F32" s="17" t="n">
        <v>50</v>
      </c>
      <c r="G32" s="17" t="n">
        <v>200</v>
      </c>
      <c r="H32" s="17" t="n">
        <v>400</v>
      </c>
      <c r="I32" s="7">
        <f>IF(D32&gt;=H32,"Platino",IF(D32&gt;=G32,"Oro",IF(D32&gt;=F32,"Argento",IF(D32&gt;=E32,"Bronzo","Nessuno"))))</f>
        <v/>
      </c>
      <c r="J32" s="6">
        <f>IF(D32&gt;=H32,1,IF(D32&gt;=G32,IF(H32=G32,1,(D32-G32)/(H32-G32)),IF(D32&gt;=F32,IF(G32=F32,1,(D32-F32)/(G32-F32)),IF(D32&gt;=E32,IF(F32=E32,1,(D32-E32)/(F32-E32)),IF(E32=0,0,D32/E32)))))</f>
        <v/>
      </c>
    </row>
    <row r="33">
      <c r="A33" s="3" t="inlineStr">
        <is>
          <t>Unova</t>
        </is>
      </c>
      <c r="B33" s="3" t="inlineStr">
        <is>
          <t>Pokédex</t>
        </is>
      </c>
      <c r="C33" s="3" t="inlineStr">
        <is>
          <t>Pokémon Unova registrati</t>
        </is>
      </c>
      <c r="D33" s="16" t="n">
        <v>0</v>
      </c>
      <c r="E33" s="17" t="n">
        <v>5</v>
      </c>
      <c r="F33" s="17" t="n">
        <v>50</v>
      </c>
      <c r="G33" s="17" t="n">
        <v>100</v>
      </c>
      <c r="H33" s="17" t="n">
        <v>156</v>
      </c>
      <c r="I33" s="7">
        <f>IF(D33&gt;=H33,"Platino",IF(D33&gt;=G33,"Oro",IF(D33&gt;=F33,"Argento",IF(D33&gt;=E33,"Bronzo","Nessuno"))))</f>
        <v/>
      </c>
      <c r="J33" s="6">
        <f>IF(D33&gt;=H33,1,IF(D33&gt;=G33,IF(H33=G33,1,(D33-G33)/(H33-G33)),IF(D33&gt;=F33,IF(G33=F33,1,(D33-F33)/(G33-F33)),IF(D33&gt;=E33,IF(F33=E33,1,(D33-E33)/(F33-E33)),IF(E33=0,0,D33/E33)))))</f>
        <v/>
      </c>
    </row>
    <row r="34">
      <c r="A34" s="3" t="inlineStr">
        <is>
          <t>Purificatore</t>
        </is>
      </c>
      <c r="B34" s="3" t="inlineStr">
        <is>
          <t>Team GO Rocket</t>
        </is>
      </c>
      <c r="C34" s="3" t="inlineStr">
        <is>
          <t>Pokémon oscuri purificati</t>
        </is>
      </c>
      <c r="D34" s="16" t="n">
        <v>0</v>
      </c>
      <c r="E34" s="17" t="n">
        <v>5</v>
      </c>
      <c r="F34" s="17" t="n">
        <v>50</v>
      </c>
      <c r="G34" s="17" t="n">
        <v>500</v>
      </c>
      <c r="H34" s="17" t="n">
        <v>1000</v>
      </c>
      <c r="I34" s="7">
        <f>IF(D34&gt;=H34,"Platino",IF(D34&gt;=G34,"Oro",IF(D34&gt;=F34,"Argento",IF(D34&gt;=E34,"Bronzo","Nessuno"))))</f>
        <v/>
      </c>
      <c r="J34" s="6">
        <f>IF(D34&gt;=H34,1,IF(D34&gt;=G34,IF(H34=G34,1,(D34-G34)/(H34-G34)),IF(D34&gt;=F34,IF(G34=F34,1,(D34-F34)/(G34-F34)),IF(D34&gt;=E34,IF(F34=E34,1,(D34-E34)/(F34-E34)),IF(E34=0,0,D34/E34)))))</f>
        <v/>
      </c>
    </row>
    <row r="35">
      <c r="A35" s="3" t="inlineStr">
        <is>
          <t>Eroe</t>
        </is>
      </c>
      <c r="B35" s="3" t="inlineStr">
        <is>
          <t>Team GO Rocket</t>
        </is>
      </c>
      <c r="C35" s="3" t="inlineStr">
        <is>
          <t>Reclute Team GO Rocket sconfitte</t>
        </is>
      </c>
      <c r="D35" s="16" t="n">
        <v>0</v>
      </c>
      <c r="E35" s="17" t="n">
        <v>10</v>
      </c>
      <c r="F35" s="17" t="n">
        <v>100</v>
      </c>
      <c r="G35" s="17" t="n">
        <v>1000</v>
      </c>
      <c r="H35" s="17" t="n">
        <v>2000</v>
      </c>
      <c r="I35" s="7">
        <f>IF(D35&gt;=H35,"Platino",IF(D35&gt;=G35,"Oro",IF(D35&gt;=F35,"Argento",IF(D35&gt;=E35,"Bronzo","Nessuno"))))</f>
        <v/>
      </c>
      <c r="J35" s="6">
        <f>IF(D35&gt;=H35,1,IF(D35&gt;=G35,IF(H35=G35,1,(D35-G35)/(H35-G35)),IF(D35&gt;=F35,IF(G35=F35,1,(D35-F35)/(G35-F35)),IF(D35&gt;=E35,IF(F35=E35,1,(D35-E35)/(F35-E35)),IF(E35=0,0,D35/E35)))))</f>
        <v/>
      </c>
    </row>
    <row r="36">
      <c r="A36" s="3" t="inlineStr">
        <is>
          <t>Ultra Eroe</t>
        </is>
      </c>
      <c r="B36" s="3" t="inlineStr">
        <is>
          <t>Team GO Rocket</t>
        </is>
      </c>
      <c r="C36" s="3" t="inlineStr">
        <is>
          <t>Giovanni sconfitto</t>
        </is>
      </c>
      <c r="D36" s="16" t="n">
        <v>0</v>
      </c>
      <c r="E36" s="17" t="n">
        <v>1</v>
      </c>
      <c r="F36" s="17" t="n">
        <v>5</v>
      </c>
      <c r="G36" s="17" t="n">
        <v>20</v>
      </c>
      <c r="H36" s="17" t="n">
        <v>50</v>
      </c>
      <c r="I36" s="7">
        <f>IF(D36&gt;=H36,"Platino",IF(D36&gt;=G36,"Oro",IF(D36&gt;=F36,"Argento",IF(D36&gt;=E36,"Bronzo","Nessuno"))))</f>
        <v/>
      </c>
      <c r="J36" s="6">
        <f>IF(D36&gt;=H36,1,IF(D36&gt;=G36,IF(H36=G36,1,(D36-G36)/(H36-G36)),IF(D36&gt;=F36,IF(G36=F36,1,(D36-F36)/(G36-F36)),IF(D36&gt;=E36,IF(F36=E36,1,(D36-E36)/(F36-E36)),IF(E36=0,0,D36/E36)))))</f>
        <v/>
      </c>
    </row>
    <row r="37">
      <c r="A37" s="3" t="inlineStr">
        <is>
          <t>Migliori amici</t>
        </is>
      </c>
      <c r="B37" s="3" t="inlineStr">
        <is>
          <t>Sociale</t>
        </is>
      </c>
      <c r="C37" s="3" t="inlineStr">
        <is>
          <t>Pokémon migliori amici ottenuti</t>
        </is>
      </c>
      <c r="D37" s="16" t="n">
        <v>0</v>
      </c>
      <c r="E37" s="17" t="n">
        <v>1</v>
      </c>
      <c r="F37" s="17" t="n">
        <v>10</v>
      </c>
      <c r="G37" s="17" t="n">
        <v>100</v>
      </c>
      <c r="H37" s="17" t="n">
        <v>200</v>
      </c>
      <c r="I37" s="7">
        <f>IF(D37&gt;=H37,"Platino",IF(D37&gt;=G37,"Oro",IF(D37&gt;=F37,"Argento",IF(D37&gt;=E37,"Bronzo","Nessuno"))))</f>
        <v/>
      </c>
      <c r="J37" s="6">
        <f>IF(D37&gt;=H37,1,IF(D37&gt;=G37,IF(H37=G37,1,(D37-G37)/(H37-G37)),IF(D37&gt;=F37,IF(G37=F37,1,(D37-F37)/(G37-F37)),IF(D37&gt;=E37,IF(F37=E37,1,(D37-E37)/(F37-E37)),IF(E37=0,0,D37/E37)))))</f>
        <v/>
      </c>
    </row>
    <row r="38">
      <c r="A38" s="3" t="inlineStr">
        <is>
          <t>Wayfarer</t>
        </is>
      </c>
      <c r="B38" s="3" t="inlineStr">
        <is>
          <t>Speciale</t>
        </is>
      </c>
      <c r="C38" s="3" t="inlineStr">
        <is>
          <t>Accordi Wayfarer ottenuti</t>
        </is>
      </c>
      <c r="D38" s="16" t="n">
        <v>0</v>
      </c>
      <c r="E38" s="17" t="n">
        <v>50</v>
      </c>
      <c r="F38" s="17" t="n">
        <v>500</v>
      </c>
      <c r="G38" s="17" t="n">
        <v>1000</v>
      </c>
      <c r="H38" s="17" t="n">
        <v>1500</v>
      </c>
      <c r="I38" s="7">
        <f>IF(D38&gt;=H38,"Platino",IF(D38&gt;=G38,"Oro",IF(D38&gt;=F38,"Argento",IF(D38&gt;=E38,"Bronzo","Nessuno"))))</f>
        <v/>
      </c>
      <c r="J38" s="6">
        <f>IF(D38&gt;=H38,1,IF(D38&gt;=G38,IF(H38=G38,1,(D38-G38)/(H38-G38)),IF(D38&gt;=F38,IF(G38=F38,1,(D38-F38)/(G38-F38)),IF(D38&gt;=E38,IF(F38=E38,1,(D38-E38)/(F38-E38)),IF(E38=0,0,D38/E38)))))</f>
        <v/>
      </c>
    </row>
    <row r="39">
      <c r="A39" s="3" t="inlineStr">
        <is>
          <t>Kalos</t>
        </is>
      </c>
      <c r="B39" s="3" t="inlineStr">
        <is>
          <t>Pokédex</t>
        </is>
      </c>
      <c r="C39" s="3" t="inlineStr">
        <is>
          <t>Pokémon Kalos registrati</t>
        </is>
      </c>
      <c r="D39" s="16" t="n">
        <v>0</v>
      </c>
      <c r="E39" s="17" t="n">
        <v>5</v>
      </c>
      <c r="F39" s="17" t="n">
        <v>25</v>
      </c>
      <c r="G39" s="17" t="n">
        <v>50</v>
      </c>
      <c r="H39" s="17" t="n">
        <v>72</v>
      </c>
      <c r="I39" s="7">
        <f>IF(D39&gt;=H39,"Platino",IF(D39&gt;=G39,"Oro",IF(D39&gt;=F39,"Argento",IF(D39&gt;=E39,"Bronzo","Nessuno"))))</f>
        <v/>
      </c>
      <c r="J39" s="6">
        <f>IF(D39&gt;=H39,1,IF(D39&gt;=G39,IF(H39=G39,1,(D39-G39)/(H39-G39)),IF(D39&gt;=F39,IF(G39=F39,1,(D39-F39)/(G39-F39)),IF(D39&gt;=E39,IF(F39=E39,1,(D39-E39)/(F39-E39)),IF(E39=0,0,D39/E39)))))</f>
        <v/>
      </c>
    </row>
    <row r="40">
      <c r="A40" s="3" t="inlineStr">
        <is>
          <t>Alola</t>
        </is>
      </c>
      <c r="B40" s="3" t="inlineStr">
        <is>
          <t>Pokédex</t>
        </is>
      </c>
      <c r="C40" s="3" t="inlineStr">
        <is>
          <t>Pokémon Alola registrati</t>
        </is>
      </c>
      <c r="D40" s="16" t="n">
        <v>0</v>
      </c>
      <c r="E40" s="17" t="n">
        <v>5</v>
      </c>
      <c r="F40" s="17" t="n">
        <v>25</v>
      </c>
      <c r="G40" s="17" t="n">
        <v>50</v>
      </c>
      <c r="H40" s="17" t="n">
        <v>86</v>
      </c>
      <c r="I40" s="7">
        <f>IF(D40&gt;=H40,"Platino",IF(D40&gt;=G40,"Oro",IF(D40&gt;=F40,"Argento",IF(D40&gt;=E40,"Bronzo","Nessuno"))))</f>
        <v/>
      </c>
      <c r="J40" s="6">
        <f>IF(D40&gt;=H40,1,IF(D40&gt;=G40,IF(H40=G40,1,(D40-G40)/(H40-G40)),IF(D40&gt;=F40,IF(G40=F40,1,(D40-F40)/(G40-F40)),IF(D40&gt;=E40,IF(F40=E40,1,(D40-E40)/(F40-E40)),IF(E40=0,0,D40/E40)))))</f>
        <v/>
      </c>
    </row>
    <row r="41">
      <c r="A41" s="3" t="inlineStr">
        <is>
          <t>Galar</t>
        </is>
      </c>
      <c r="B41" s="3" t="inlineStr">
        <is>
          <t>Pokédex</t>
        </is>
      </c>
      <c r="C41" s="3" t="inlineStr">
        <is>
          <t>Pokémon Galar registrati</t>
        </is>
      </c>
      <c r="D41" s="16" t="n">
        <v>0</v>
      </c>
      <c r="E41" s="17" t="n">
        <v>5</v>
      </c>
      <c r="F41" s="17" t="n">
        <v>25</v>
      </c>
      <c r="G41" s="17" t="n">
        <v>50</v>
      </c>
      <c r="H41" s="17" t="n">
        <v>89</v>
      </c>
      <c r="I41" s="7">
        <f>IF(D41&gt;=H41,"Platino",IF(D41&gt;=G41,"Oro",IF(D41&gt;=F41,"Argento",IF(D41&gt;=E41,"Bronzo","Nessuno"))))</f>
        <v/>
      </c>
      <c r="J41" s="6">
        <f>IF(D41&gt;=H41,1,IF(D41&gt;=G41,IF(H41=G41,1,(D41-G41)/(H41-G41)),IF(D41&gt;=F41,IF(G41=F41,1,(D41-F41)/(G41-F41)),IF(D41&gt;=E41,IF(F41=E41,1,(D41-E41)/(F41-E41)),IF(E41=0,0,D41/E41)))))</f>
        <v/>
      </c>
    </row>
    <row r="42">
      <c r="A42" s="3" t="inlineStr">
        <is>
          <t>Hisui</t>
        </is>
      </c>
      <c r="B42" s="3" t="inlineStr">
        <is>
          <t>Pokédex</t>
        </is>
      </c>
      <c r="C42" s="3" t="inlineStr">
        <is>
          <t>Pokémon Hisui registrati</t>
        </is>
      </c>
      <c r="D42" s="16" t="n">
        <v>0</v>
      </c>
      <c r="E42" s="17" t="n">
        <v>5</v>
      </c>
      <c r="F42" s="17" t="n">
        <v>10</v>
      </c>
      <c r="G42" s="17" t="n">
        <v>20</v>
      </c>
      <c r="H42" s="17" t="n">
        <v>30</v>
      </c>
      <c r="I42" s="7">
        <f>IF(D42&gt;=H42,"Platino",IF(D42&gt;=G42,"Oro",IF(D42&gt;=F42,"Argento",IF(D42&gt;=E42,"Bronzo","Nessuno"))))</f>
        <v/>
      </c>
      <c r="J42" s="6">
        <f>IF(D42&gt;=H42,1,IF(D42&gt;=G42,IF(H42=G42,1,(D42-G42)/(H42-G42)),IF(D42&gt;=F42,IF(G42=F42,1,(D42-F42)/(G42-F42)),IF(D42&gt;=E42,IF(F42=E42,1,(D42-E42)/(F42-E42)),IF(E42=0,0,D42/E42)))))</f>
        <v/>
      </c>
    </row>
    <row r="43">
      <c r="A43" s="3" t="inlineStr">
        <is>
          <t>Triatleta</t>
        </is>
      </c>
      <c r="B43" s="3" t="inlineStr">
        <is>
          <t>Attività</t>
        </is>
      </c>
      <c r="C43" s="3" t="inlineStr">
        <is>
          <t>Serie di 7 giorni (catture o PokéStop)</t>
        </is>
      </c>
      <c r="D43" s="16" t="n">
        <v>0</v>
      </c>
      <c r="E43" s="17" t="n">
        <v>1</v>
      </c>
      <c r="F43" s="17" t="n">
        <v>10</v>
      </c>
      <c r="G43" s="17" t="n">
        <v>50</v>
      </c>
      <c r="H43" s="17" t="n">
        <v>100</v>
      </c>
      <c r="I43" s="7">
        <f>IF(D43&gt;=H43,"Platino",IF(D43&gt;=G43,"Oro",IF(D43&gt;=F43,"Argento",IF(D43&gt;=E43,"Bronzo","Nessuno"))))</f>
        <v/>
      </c>
      <c r="J43" s="6">
        <f>IF(D43&gt;=H43,1,IF(D43&gt;=G43,IF(H43=G43,1,(D43-G43)/(H43-G43)),IF(D43&gt;=F43,IF(G43=F43,1,(D43-F43)/(G43-F43)),IF(D43&gt;=E43,IF(F43=E43,1,(D43-E43)/(F43-E43)),IF(E43=0,0,D43/E43)))))</f>
        <v/>
      </c>
    </row>
    <row r="44">
      <c r="A44" s="3" t="inlineStr">
        <is>
          <t>Stella nascente</t>
        </is>
      </c>
      <c r="B44" s="3" t="inlineStr">
        <is>
          <t>Battaglia</t>
        </is>
      </c>
      <c r="C44" s="3" t="inlineStr">
        <is>
          <t>Specie diverse sconfitte in raid</t>
        </is>
      </c>
      <c r="D44" s="16" t="n">
        <v>0</v>
      </c>
      <c r="E44" s="17" t="n">
        <v>2</v>
      </c>
      <c r="F44" s="17" t="n">
        <v>10</v>
      </c>
      <c r="G44" s="17" t="n">
        <v>50</v>
      </c>
      <c r="H44" s="17" t="n">
        <v>150</v>
      </c>
      <c r="I44" s="7">
        <f>IF(D44&gt;=H44,"Platino",IF(D44&gt;=G44,"Oro",IF(D44&gt;=F44,"Argento",IF(D44&gt;=E44,"Bronzo","Nessuno"))))</f>
        <v/>
      </c>
      <c r="J44" s="6">
        <f>IF(D44&gt;=H44,1,IF(D44&gt;=G44,IF(H44=G44,1,(D44-G44)/(H44-G44)),IF(D44&gt;=F44,IF(G44=F44,1,(D44-F44)/(G44-F44)),IF(D44&gt;=E44,IF(F44=E44,1,(D44-E44)/(F44-E44)),IF(E44=0,0,D44/E44)))))</f>
        <v/>
      </c>
    </row>
    <row r="45">
      <c r="A45" s="3" t="inlineStr">
        <is>
          <t>Duo Stella nascente</t>
        </is>
      </c>
      <c r="B45" s="3" t="inlineStr">
        <is>
          <t>Battaglia</t>
        </is>
      </c>
      <c r="C45" s="3" t="inlineStr">
        <is>
          <t>Raid vinti con un amico</t>
        </is>
      </c>
      <c r="D45" s="16" t="n">
        <v>0</v>
      </c>
      <c r="E45" s="17" t="n">
        <v>10</v>
      </c>
      <c r="F45" s="17" t="n">
        <v>100</v>
      </c>
      <c r="G45" s="17" t="n">
        <v>1000</v>
      </c>
      <c r="H45" s="17" t="n">
        <v>2000</v>
      </c>
      <c r="I45" s="7">
        <f>IF(D45&gt;=H45,"Platino",IF(D45&gt;=G45,"Oro",IF(D45&gt;=F45,"Argento",IF(D45&gt;=E45,"Bronzo","Nessuno"))))</f>
        <v/>
      </c>
      <c r="J45" s="6">
        <f>IF(D45&gt;=H45,1,IF(D45&gt;=G45,IF(H45=G45,1,(D45-G45)/(H45-G45)),IF(D45&gt;=F45,IF(G45=F45,1,(D45-F45)/(G45-F45)),IF(D45&gt;=E45,IF(F45=E45,1,(D45-E45)/(F45-E45)),IF(E45=0,0,D45/E45)))))</f>
        <v/>
      </c>
    </row>
    <row r="46">
      <c r="A46" s="3" t="inlineStr">
        <is>
          <t>Picnic</t>
        </is>
      </c>
      <c r="B46" s="3" t="inlineStr">
        <is>
          <t>Sociale</t>
        </is>
      </c>
      <c r="C46" s="3" t="inlineStr">
        <is>
          <t>Pokémon catturati con modulo esca condiviso</t>
        </is>
      </c>
      <c r="D46" s="16" t="n">
        <v>0</v>
      </c>
      <c r="E46" s="17" t="n">
        <v>5</v>
      </c>
      <c r="F46" s="17" t="n">
        <v>25</v>
      </c>
      <c r="G46" s="17" t="n">
        <v>500</v>
      </c>
      <c r="H46" s="17" t="n">
        <v>2500</v>
      </c>
      <c r="I46" s="7">
        <f>IF(D46&gt;=H46,"Platino",IF(D46&gt;=G46,"Oro",IF(D46&gt;=F46,"Argento",IF(D46&gt;=E46,"Bronzo","Nessuno"))))</f>
        <v/>
      </c>
      <c r="J46" s="6">
        <f>IF(D46&gt;=H46,1,IF(D46&gt;=G46,IF(H46=G46,1,(D46-G46)/(H46-G46)),IF(D46&gt;=F46,IF(G46=F46,1,(D46-F46)/(G46-F46)),IF(D46&gt;=E46,IF(F46=E46,1,(D46-E46)/(F46-E46)),IF(E46=0,0,D46/E46)))))</f>
        <v/>
      </c>
    </row>
    <row r="47">
      <c r="A47" s="3" t="inlineStr">
        <is>
          <t>Successore</t>
        </is>
      </c>
      <c r="B47" s="3" t="inlineStr">
        <is>
          <t>Megaevoluzione</t>
        </is>
      </c>
      <c r="C47" s="3" t="inlineStr">
        <is>
          <t>Megaevoluzioni effettuate</t>
        </is>
      </c>
      <c r="D47" s="16" t="n">
        <v>0</v>
      </c>
      <c r="E47" s="17" t="n">
        <v>1</v>
      </c>
      <c r="F47" s="17" t="n">
        <v>50</v>
      </c>
      <c r="G47" s="17" t="n">
        <v>500</v>
      </c>
      <c r="H47" s="17" t="n">
        <v>1000</v>
      </c>
      <c r="I47" s="7">
        <f>IF(D47&gt;=H47,"Platino",IF(D47&gt;=G47,"Oro",IF(D47&gt;=F47,"Argento",IF(D47&gt;=E47,"Bronzo","Nessuno"))))</f>
        <v/>
      </c>
      <c r="J47" s="6">
        <f>IF(D47&gt;=H47,1,IF(D47&gt;=G47,IF(H47=G47,1,(D47-G47)/(H47-G47)),IF(D47&gt;=F47,IF(G47=F47,1,(D47-F47)/(G47-F47)),IF(D47&gt;=E47,IF(F47=E47,1,(D47-E47)/(F47-E47)),IF(E47=0,0,D47/E47)))))</f>
        <v/>
      </c>
    </row>
    <row r="48">
      <c r="A48" s="3" t="inlineStr">
        <is>
          <t>Guru Megaevoluzione</t>
        </is>
      </c>
      <c r="B48" s="3" t="inlineStr">
        <is>
          <t>Megaevoluzione</t>
        </is>
      </c>
      <c r="C48" s="3" t="inlineStr">
        <is>
          <t>Specie diverse megaevolute</t>
        </is>
      </c>
      <c r="D48" s="16" t="n">
        <v>0</v>
      </c>
      <c r="E48" s="17" t="n">
        <v>1</v>
      </c>
      <c r="F48" s="17" t="n">
        <v>24</v>
      </c>
      <c r="G48" s="17" t="n">
        <v>36</v>
      </c>
      <c r="H48" s="17" t="n">
        <v>46</v>
      </c>
      <c r="I48" s="7">
        <f>IF(D48&gt;=H48,"Platino",IF(D48&gt;=G48,"Oro",IF(D48&gt;=F48,"Argento",IF(D48&gt;=E48,"Bronzo","Nessuno"))))</f>
        <v/>
      </c>
      <c r="J48" s="6">
        <f>IF(D48&gt;=H48,1,IF(D48&gt;=G48,IF(H48=G48,1,(D48-G48)/(H48-G48)),IF(D48&gt;=F48,IF(G48=F48,1,(D48-F48)/(G48-F48)),IF(D48&gt;=E48,IF(F48=E48,1,(D48-E48)/(F48-E48)),IF(E48=0,0,D48/E48)))))</f>
        <v/>
      </c>
    </row>
    <row r="49">
      <c r="A49" s="3" t="inlineStr">
        <is>
          <t>Trova amici</t>
        </is>
      </c>
      <c r="B49" s="3" t="inlineStr">
        <is>
          <t>Sociale</t>
        </is>
      </c>
      <c r="C49" s="3" t="inlineStr">
        <is>
          <t>Allenatori invitati</t>
        </is>
      </c>
      <c r="D49" s="16" t="n">
        <v>0</v>
      </c>
      <c r="E49" s="17" t="n">
        <v>1</v>
      </c>
      <c r="F49" s="17" t="n">
        <v>10</v>
      </c>
      <c r="G49" s="17" t="n">
        <v>20</v>
      </c>
      <c r="H49" s="17" t="n">
        <v>50</v>
      </c>
      <c r="I49" s="7">
        <f>IF(D49&gt;=H49,"Platino",IF(D49&gt;=G49,"Oro",IF(D49&gt;=F49,"Argento",IF(D49&gt;=E49,"Bronzo","Nessuno"))))</f>
        <v/>
      </c>
      <c r="J49" s="6">
        <f>IF(D49&gt;=H49,1,IF(D49&gt;=G49,IF(H49=G49,1,(D49-G49)/(H49-G49)),IF(D49&gt;=F49,IF(G49=F49,1,(D49-F49)/(G49-F49)),IF(D49&gt;=E49,IF(F49=E49,1,(D49-E49)/(F49-E49)),IF(E49=0,0,D49/E49)))))</f>
        <v/>
      </c>
    </row>
    <row r="50">
      <c r="A50" s="3" t="inlineStr">
        <is>
          <t>Esperto Raid</t>
        </is>
      </c>
      <c r="B50" s="3" t="inlineStr">
        <is>
          <t>Battaglia</t>
        </is>
      </c>
      <c r="C50" s="3" t="inlineStr">
        <is>
          <t>Volte in classifica achievement raid</t>
        </is>
      </c>
      <c r="D50" s="16" t="n">
        <v>0</v>
      </c>
      <c r="E50" s="17" t="n">
        <v>1</v>
      </c>
      <c r="F50" s="17" t="n">
        <v>50</v>
      </c>
      <c r="G50" s="17" t="n">
        <v>200</v>
      </c>
      <c r="H50" s="17" t="n">
        <v>500</v>
      </c>
      <c r="I50" s="7">
        <f>IF(D50&gt;=H50,"Platino",IF(D50&gt;=G50,"Oro",IF(D50&gt;=F50,"Argento",IF(D50&gt;=E50,"Bronzo","Nessuno"))))</f>
        <v/>
      </c>
      <c r="J50" s="6">
        <f>IF(D50&gt;=H50,1,IF(D50&gt;=G50,IF(H50=G50,1,(D50-G50)/(H50-G50)),IF(D50&gt;=F50,IF(G50=F50,1,(D50-F50)/(G50-F50)),IF(D50&gt;=E50,IF(F50=E50,1,(D50-E50)/(F50-E50)),IF(E50=0,0,D50/E50)))))</f>
        <v/>
      </c>
    </row>
    <row r="51">
      <c r="A51" s="3" t="inlineStr">
        <is>
          <t>Collez. Pokémon minuscoli</t>
        </is>
      </c>
      <c r="B51" s="3" t="inlineStr">
        <is>
          <t>Attività</t>
        </is>
      </c>
      <c r="C51" s="3" t="inlineStr">
        <is>
          <t>Pokémon XXS catturati</t>
        </is>
      </c>
      <c r="D51" s="16" t="n">
        <v>0</v>
      </c>
      <c r="E51" s="17" t="n">
        <v>5</v>
      </c>
      <c r="F51" s="17" t="n">
        <v>25</v>
      </c>
      <c r="G51" s="17" t="n">
        <v>100</v>
      </c>
      <c r="H51" s="17" t="n">
        <v>500</v>
      </c>
      <c r="I51" s="7">
        <f>IF(D51&gt;=H51,"Platino",IF(D51&gt;=G51,"Oro",IF(D51&gt;=F51,"Argento",IF(D51&gt;=E51,"Bronzo","Nessuno"))))</f>
        <v/>
      </c>
      <c r="J51" s="6">
        <f>IF(D51&gt;=H51,1,IF(D51&gt;=G51,IF(H51=G51,1,(D51-G51)/(H51-G51)),IF(D51&gt;=F51,IF(G51=F51,1,(D51-F51)/(G51-F51)),IF(D51&gt;=E51,IF(F51=E51,1,(D51-E51)/(F51-E51)),IF(E51=0,0,D51/E51)))))</f>
        <v/>
      </c>
    </row>
    <row r="52">
      <c r="A52" s="3" t="inlineStr">
        <is>
          <t>Collez. Pokémon enormi</t>
        </is>
      </c>
      <c r="B52" s="3" t="inlineStr">
        <is>
          <t>Attività</t>
        </is>
      </c>
      <c r="C52" s="3" t="inlineStr">
        <is>
          <t>Pokémon XXL catturati</t>
        </is>
      </c>
      <c r="D52" s="16" t="n">
        <v>0</v>
      </c>
      <c r="E52" s="17" t="n">
        <v>5</v>
      </c>
      <c r="F52" s="17" t="n">
        <v>25</v>
      </c>
      <c r="G52" s="17" t="n">
        <v>100</v>
      </c>
      <c r="H52" s="17" t="n">
        <v>500</v>
      </c>
      <c r="I52" s="7">
        <f>IF(D52&gt;=H52,"Platino",IF(D52&gt;=G52,"Oro",IF(D52&gt;=F52,"Argento",IF(D52&gt;=E52,"Bronzo","Nessuno"))))</f>
        <v/>
      </c>
      <c r="J52" s="6">
        <f>IF(D52&gt;=H52,1,IF(D52&gt;=G52,IF(H52=G52,1,(D52-G52)/(H52-G52)),IF(D52&gt;=F52,IF(G52=F52,1,(D52-F52)/(G52-F52)),IF(D52&gt;=E52,IF(F52=E52,1,(D52-E52)/(F52-E52)),IF(E52=0,0,D52/E52)))))</f>
        <v/>
      </c>
    </row>
    <row r="53">
      <c r="A53" s="3" t="inlineStr">
        <is>
          <t>Paldea</t>
        </is>
      </c>
      <c r="B53" s="3" t="inlineStr">
        <is>
          <t>Pokédex</t>
        </is>
      </c>
      <c r="C53" s="3" t="inlineStr">
        <is>
          <t>Pokémon Paldea registrati</t>
        </is>
      </c>
      <c r="D53" s="16" t="n">
        <v>0</v>
      </c>
      <c r="E53" s="17" t="n">
        <v>5</v>
      </c>
      <c r="F53" s="17" t="n">
        <v>30</v>
      </c>
      <c r="G53" s="17" t="n">
        <v>80</v>
      </c>
      <c r="H53" s="17" t="n">
        <v>103</v>
      </c>
      <c r="I53" s="7">
        <f>IF(D53&gt;=H53,"Platino",IF(D53&gt;=G53,"Oro",IF(D53&gt;=F53,"Argento",IF(D53&gt;=E53,"Bronzo","Nessuno"))))</f>
        <v/>
      </c>
      <c r="J53" s="6">
        <f>IF(D53&gt;=H53,1,IF(D53&gt;=G53,IF(H53=G53,1,(D53-G53)/(H53-G53)),IF(D53&gt;=F53,IF(G53=F53,1,(D53-F53)/(G53-F53)),IF(D53&gt;=E53,IF(F53=E53,1,(D53-E53)/(F53-E53)),IF(E53=0,0,D53/E53)))))</f>
        <v/>
      </c>
    </row>
    <row r="54">
      <c r="A54" s="3" t="inlineStr">
        <is>
          <t>Collezionista Vivillon</t>
        </is>
      </c>
      <c r="B54" s="3" t="inlineStr">
        <is>
          <t>Speciale</t>
        </is>
      </c>
      <c r="C54" s="3" t="inlineStr">
        <is>
          <t>Motivi Vivillon collezionati</t>
        </is>
      </c>
      <c r="D54" s="16" t="n">
        <v>0</v>
      </c>
      <c r="E54" s="17" t="n">
        <v>1</v>
      </c>
      <c r="F54" s="17" t="n">
        <v>5</v>
      </c>
      <c r="G54" s="17" t="n">
        <v>10</v>
      </c>
      <c r="H54" s="17" t="n">
        <v>18</v>
      </c>
      <c r="I54" s="7">
        <f>IF(D54&gt;=H54,"Platino",IF(D54&gt;=G54,"Oro",IF(D54&gt;=F54,"Argento",IF(D54&gt;=E54,"Bronzo","Nessuno"))))</f>
        <v/>
      </c>
      <c r="J54" s="6">
        <f>IF(D54&gt;=H54,1,IF(D54&gt;=G54,IF(H54=G54,1,(D54-G54)/(H54-G54)),IF(D54&gt;=F54,IF(G54=F54,1,(D54-F54)/(G54-F54)),IF(D54&gt;=E54,IF(F54=E54,1,(D54-E54)/(F54-E54)),IF(E54=0,0,D54/E54)))))</f>
        <v/>
      </c>
    </row>
    <row r="55">
      <c r="A55" s="3" t="inlineStr">
        <is>
          <t>Stella Vetrina</t>
        </is>
      </c>
      <c r="B55" s="3" t="inlineStr">
        <is>
          <t>Attività</t>
        </is>
      </c>
      <c r="C55" s="3" t="inlineStr">
        <is>
          <t>Vetrine PokéStop vinte</t>
        </is>
      </c>
      <c r="D55" s="16" t="n">
        <v>0</v>
      </c>
      <c r="E55" s="17" t="n">
        <v>1</v>
      </c>
      <c r="F55" s="17" t="n">
        <v>10</v>
      </c>
      <c r="G55" s="17" t="n">
        <v>50</v>
      </c>
      <c r="H55" s="17" t="n">
        <v>100</v>
      </c>
      <c r="I55" s="7">
        <f>IF(D55&gt;=H55,"Platino",IF(D55&gt;=G55,"Oro",IF(D55&gt;=F55,"Argento",IF(D55&gt;=E55,"Bronzo","Nessuno"))))</f>
        <v/>
      </c>
      <c r="J55" s="6">
        <f>IF(D55&gt;=H55,1,IF(D55&gt;=G55,IF(H55=G55,1,(D55-G55)/(H55-G55)),IF(D55&gt;=F55,IF(G55=F55,1,(D55-F55)/(G55-F55)),IF(D55&gt;=E55,IF(F55=E55,1,(D55-E55)/(F55-E55)),IF(E55=0,0,D55/E55)))))</f>
        <v/>
      </c>
    </row>
    <row r="56">
      <c r="A56" s="3" t="inlineStr">
        <is>
          <t>Esploratore esperto</t>
        </is>
      </c>
      <c r="B56" s="3" t="inlineStr">
        <is>
          <t>Esplorazione</t>
        </is>
      </c>
      <c r="C56" s="3" t="inlineStr">
        <is>
          <t>Percorsi (Routes) completati</t>
        </is>
      </c>
      <c r="D56" s="16" t="n">
        <v>0</v>
      </c>
      <c r="E56" s="17" t="n">
        <v>10</v>
      </c>
      <c r="F56" s="17" t="n">
        <v>50</v>
      </c>
      <c r="G56" s="17" t="n">
        <v>200</v>
      </c>
      <c r="H56" s="17" t="n">
        <v>600</v>
      </c>
      <c r="I56" s="7">
        <f>IF(D56&gt;=H56,"Platino",IF(D56&gt;=G56,"Oro",IF(D56&gt;=F56,"Argento",IF(D56&gt;=E56,"Bronzo","Nessuno"))))</f>
        <v/>
      </c>
      <c r="J56" s="6">
        <f>IF(D56&gt;=H56,1,IF(D56&gt;=G56,IF(H56=G56,1,(D56-G56)/(H56-G56)),IF(D56&gt;=F56,IF(G56=F56,1,(D56-F56)/(G56-F56)),IF(D56&gt;=E56,IF(F56=E56,1,(D56-E56)/(F56-E56)),IF(E56=0,0,D56/E56)))))</f>
        <v/>
      </c>
    </row>
    <row r="57">
      <c r="A57" s="3" t="inlineStr">
        <is>
          <t>Membro della community</t>
        </is>
      </c>
      <c r="B57" s="3" t="inlineStr">
        <is>
          <t>Sociale</t>
        </is>
      </c>
      <c r="C57" s="3" t="inlineStr">
        <is>
          <t>Check-in a eventi Campfire</t>
        </is>
      </c>
      <c r="D57" s="16" t="n">
        <v>0</v>
      </c>
      <c r="E57" s="17" t="n">
        <v>1</v>
      </c>
      <c r="F57" s="17" t="n">
        <v>20</v>
      </c>
      <c r="G57" s="17" t="n">
        <v>50</v>
      </c>
      <c r="H57" s="17" t="n">
        <v>100</v>
      </c>
      <c r="I57" s="7">
        <f>IF(D57&gt;=H57,"Platino",IF(D57&gt;=G57,"Oro",IF(D57&gt;=F57,"Argento",IF(D57&gt;=E57,"Bronzo","Nessuno"))))</f>
        <v/>
      </c>
      <c r="J57" s="6">
        <f>IF(D57&gt;=H57,1,IF(D57&gt;=G57,IF(H57=G57,1,(D57-G57)/(H57-G57)),IF(D57&gt;=F57,IF(G57=F57,1,(D57-F57)/(G57-F57)),IF(D57&gt;=E57,IF(F57=E57,1,(D57-E57)/(F57-E57)),IF(E57=0,0,D57/E57)))))</f>
        <v/>
      </c>
    </row>
    <row r="58">
      <c r="A58" s="3" t="inlineStr">
        <is>
          <t>Anima della festa</t>
        </is>
      </c>
      <c r="B58" s="3" t="inlineStr">
        <is>
          <t>Sociale</t>
        </is>
      </c>
      <c r="C58" s="3" t="inlineStr">
        <is>
          <t>Sfide di gruppo (Party Play) completate</t>
        </is>
      </c>
      <c r="D58" s="16" t="n">
        <v>0</v>
      </c>
      <c r="E58" s="17" t="n">
        <v>10</v>
      </c>
      <c r="F58" s="17" t="n">
        <v>50</v>
      </c>
      <c r="G58" s="17" t="n">
        <v>100</v>
      </c>
      <c r="H58" s="17" t="n">
        <v>200</v>
      </c>
      <c r="I58" s="7">
        <f>IF(D58&gt;=H58,"Platino",IF(D58&gt;=G58,"Oro",IF(D58&gt;=F58,"Argento",IF(D58&gt;=E58,"Bronzo","Nessuno"))))</f>
        <v/>
      </c>
      <c r="J58" s="6">
        <f>IF(D58&gt;=H58,1,IF(D58&gt;=G58,IF(H58=G58,1,(D58-G58)/(H58-G58)),IF(D58&gt;=F58,IF(G58=F58,1,(D58-F58)/(G58-F58)),IF(D58&gt;=E58,IF(F58=E58,1,(D58-E58)/(F58-E58)),IF(E58=0,0,D58/E58)))))</f>
        <v/>
      </c>
    </row>
    <row r="59">
      <c r="A59" s="3" t="inlineStr">
        <is>
          <t>Studente</t>
        </is>
      </c>
      <c r="B59" s="3" t="inlineStr">
        <is>
          <t>Tipo</t>
        </is>
      </c>
      <c r="C59" s="3" t="inlineStr">
        <is>
          <t>Pokémon tipo Normale catturati</t>
        </is>
      </c>
      <c r="D59" s="16" t="n">
        <v>0</v>
      </c>
      <c r="E59" s="17" t="n">
        <v>10</v>
      </c>
      <c r="F59" s="17" t="n">
        <v>50</v>
      </c>
      <c r="G59" s="17" t="n">
        <v>200</v>
      </c>
      <c r="H59" s="17" t="n">
        <v>2500</v>
      </c>
      <c r="I59" s="7">
        <f>IF(D59&gt;=H59,"Platino",IF(D59&gt;=G59,"Oro",IF(D59&gt;=F59,"Argento",IF(D59&gt;=E59,"Bronzo","Nessuno"))))</f>
        <v/>
      </c>
      <c r="J59" s="6">
        <f>IF(D59&gt;=H59,1,IF(D59&gt;=G59,IF(H59=G59,1,(D59-G59)/(H59-G59)),IF(D59&gt;=F59,IF(G59=F59,1,(D59-F59)/(G59-F59)),IF(D59&gt;=E59,IF(F59=E59,1,(D59-E59)/(F59-E59)),IF(E59=0,0,D59/E59)))))</f>
        <v/>
      </c>
    </row>
    <row r="60">
      <c r="A60" s="3" t="inlineStr">
        <is>
          <t>Cintura Nera</t>
        </is>
      </c>
      <c r="B60" s="3" t="inlineStr">
        <is>
          <t>Tipo</t>
        </is>
      </c>
      <c r="C60" s="3" t="inlineStr">
        <is>
          <t>Pokémon tipo Lotta catturati</t>
        </is>
      </c>
      <c r="D60" s="16" t="n">
        <v>0</v>
      </c>
      <c r="E60" s="17" t="n">
        <v>10</v>
      </c>
      <c r="F60" s="17" t="n">
        <v>50</v>
      </c>
      <c r="G60" s="17" t="n">
        <v>200</v>
      </c>
      <c r="H60" s="17" t="n">
        <v>2500</v>
      </c>
      <c r="I60" s="7">
        <f>IF(D60&gt;=H60,"Platino",IF(D60&gt;=G60,"Oro",IF(D60&gt;=F60,"Argento",IF(D60&gt;=E60,"Bronzo","Nessuno"))))</f>
        <v/>
      </c>
      <c r="J60" s="6">
        <f>IF(D60&gt;=H60,1,IF(D60&gt;=G60,IF(H60=G60,1,(D60-G60)/(H60-G60)),IF(D60&gt;=F60,IF(G60=F60,1,(D60-F60)/(G60-F60)),IF(D60&gt;=E60,IF(F60=E60,1,(D60-E60)/(F60-E60)),IF(E60=0,0,D60/E60)))))</f>
        <v/>
      </c>
    </row>
    <row r="61">
      <c r="A61" s="3" t="inlineStr">
        <is>
          <t>Avicoltore</t>
        </is>
      </c>
      <c r="B61" s="3" t="inlineStr">
        <is>
          <t>Tipo</t>
        </is>
      </c>
      <c r="C61" s="3" t="inlineStr">
        <is>
          <t>Pokémon tipo Volante catturati</t>
        </is>
      </c>
      <c r="D61" s="16" t="n">
        <v>0</v>
      </c>
      <c r="E61" s="17" t="n">
        <v>10</v>
      </c>
      <c r="F61" s="17" t="n">
        <v>50</v>
      </c>
      <c r="G61" s="17" t="n">
        <v>200</v>
      </c>
      <c r="H61" s="17" t="n">
        <v>2500</v>
      </c>
      <c r="I61" s="7">
        <f>IF(D61&gt;=H61,"Platino",IF(D61&gt;=G61,"Oro",IF(D61&gt;=F61,"Argento",IF(D61&gt;=E61,"Bronzo","Nessuno"))))</f>
        <v/>
      </c>
      <c r="J61" s="6">
        <f>IF(D61&gt;=H61,1,IF(D61&gt;=G61,IF(H61=G61,1,(D61-G61)/(H61-G61)),IF(D61&gt;=F61,IF(G61=F61,1,(D61-F61)/(G61-F61)),IF(D61&gt;=E61,IF(F61=E61,1,(D61-E61)/(F61-E61)),IF(E61=0,0,D61/E61)))))</f>
        <v/>
      </c>
    </row>
    <row r="62">
      <c r="A62" s="3" t="inlineStr">
        <is>
          <t>Punk</t>
        </is>
      </c>
      <c r="B62" s="3" t="inlineStr">
        <is>
          <t>Tipo</t>
        </is>
      </c>
      <c r="C62" s="3" t="inlineStr">
        <is>
          <t>Pokémon tipo Veleno catturati</t>
        </is>
      </c>
      <c r="D62" s="16" t="n">
        <v>0</v>
      </c>
      <c r="E62" s="17" t="n">
        <v>10</v>
      </c>
      <c r="F62" s="17" t="n">
        <v>50</v>
      </c>
      <c r="G62" s="17" t="n">
        <v>200</v>
      </c>
      <c r="H62" s="17" t="n">
        <v>2500</v>
      </c>
      <c r="I62" s="7">
        <f>IF(D62&gt;=H62,"Platino",IF(D62&gt;=G62,"Oro",IF(D62&gt;=F62,"Argento",IF(D62&gt;=E62,"Bronzo","Nessuno"))))</f>
        <v/>
      </c>
      <c r="J62" s="6">
        <f>IF(D62&gt;=H62,1,IF(D62&gt;=G62,IF(H62=G62,1,(D62-G62)/(H62-G62)),IF(D62&gt;=F62,IF(G62=F62,1,(D62-F62)/(G62-F62)),IF(D62&gt;=E62,IF(F62=E62,1,(D62-E62)/(F62-E62)),IF(E62=0,0,D62/E62)))))</f>
        <v/>
      </c>
    </row>
    <row r="63">
      <c r="A63" s="3" t="inlineStr">
        <is>
          <t>Archeologo</t>
        </is>
      </c>
      <c r="B63" s="3" t="inlineStr">
        <is>
          <t>Tipo</t>
        </is>
      </c>
      <c r="C63" s="3" t="inlineStr">
        <is>
          <t>Pokémon tipo Terra catturati</t>
        </is>
      </c>
      <c r="D63" s="16" t="n">
        <v>0</v>
      </c>
      <c r="E63" s="17" t="n">
        <v>10</v>
      </c>
      <c r="F63" s="17" t="n">
        <v>50</v>
      </c>
      <c r="G63" s="17" t="n">
        <v>200</v>
      </c>
      <c r="H63" s="17" t="n">
        <v>2500</v>
      </c>
      <c r="I63" s="7">
        <f>IF(D63&gt;=H63,"Platino",IF(D63&gt;=G63,"Oro",IF(D63&gt;=F63,"Argento",IF(D63&gt;=E63,"Bronzo","Nessuno"))))</f>
        <v/>
      </c>
      <c r="J63" s="6">
        <f>IF(D63&gt;=H63,1,IF(D63&gt;=G63,IF(H63=G63,1,(D63-G63)/(H63-G63)),IF(D63&gt;=F63,IF(G63=F63,1,(D63-F63)/(G63-F63)),IF(D63&gt;=E63,IF(F63=E63,1,(D63-E63)/(F63-E63)),IF(E63=0,0,D63/E63)))))</f>
        <v/>
      </c>
    </row>
    <row r="64">
      <c r="A64" s="3" t="inlineStr">
        <is>
          <t>Alpinista</t>
        </is>
      </c>
      <c r="B64" s="3" t="inlineStr">
        <is>
          <t>Tipo</t>
        </is>
      </c>
      <c r="C64" s="3" t="inlineStr">
        <is>
          <t>Pokémon tipo Roccia catturati</t>
        </is>
      </c>
      <c r="D64" s="16" t="n">
        <v>0</v>
      </c>
      <c r="E64" s="17" t="n">
        <v>10</v>
      </c>
      <c r="F64" s="17" t="n">
        <v>50</v>
      </c>
      <c r="G64" s="17" t="n">
        <v>200</v>
      </c>
      <c r="H64" s="17" t="n">
        <v>2500</v>
      </c>
      <c r="I64" s="7">
        <f>IF(D64&gt;=H64,"Platino",IF(D64&gt;=G64,"Oro",IF(D64&gt;=F64,"Argento",IF(D64&gt;=E64,"Bronzo","Nessuno"))))</f>
        <v/>
      </c>
      <c r="J64" s="6">
        <f>IF(D64&gt;=H64,1,IF(D64&gt;=G64,IF(H64=G64,1,(D64-G64)/(H64-G64)),IF(D64&gt;=F64,IF(G64=F64,1,(D64-F64)/(G64-F64)),IF(D64&gt;=E64,IF(F64=E64,1,(D64-E64)/(F64-E64)),IF(E64=0,0,D64/E64)))))</f>
        <v/>
      </c>
    </row>
    <row r="65">
      <c r="A65" s="3" t="inlineStr">
        <is>
          <t>Cacciabug</t>
        </is>
      </c>
      <c r="B65" s="3" t="inlineStr">
        <is>
          <t>Tipo</t>
        </is>
      </c>
      <c r="C65" s="3" t="inlineStr">
        <is>
          <t>Pokémon tipo Coleottero catturati</t>
        </is>
      </c>
      <c r="D65" s="16" t="n">
        <v>0</v>
      </c>
      <c r="E65" s="17" t="n">
        <v>10</v>
      </c>
      <c r="F65" s="17" t="n">
        <v>50</v>
      </c>
      <c r="G65" s="17" t="n">
        <v>200</v>
      </c>
      <c r="H65" s="17" t="n">
        <v>2500</v>
      </c>
      <c r="I65" s="7">
        <f>IF(D65&gt;=H65,"Platino",IF(D65&gt;=G65,"Oro",IF(D65&gt;=F65,"Argento",IF(D65&gt;=E65,"Bronzo","Nessuno"))))</f>
        <v/>
      </c>
      <c r="J65" s="6">
        <f>IF(D65&gt;=H65,1,IF(D65&gt;=G65,IF(H65=G65,1,(D65-G65)/(H65-G65)),IF(D65&gt;=F65,IF(G65=F65,1,(D65-F65)/(G65-F65)),IF(D65&gt;=E65,IF(F65=E65,1,(D65-E65)/(F65-E65)),IF(E65=0,0,D65/E65)))))</f>
        <v/>
      </c>
    </row>
    <row r="66">
      <c r="A66" s="3" t="inlineStr">
        <is>
          <t>Stregone</t>
        </is>
      </c>
      <c r="B66" s="3" t="inlineStr">
        <is>
          <t>Tipo</t>
        </is>
      </c>
      <c r="C66" s="3" t="inlineStr">
        <is>
          <t>Pokémon tipo Spettro catturati</t>
        </is>
      </c>
      <c r="D66" s="16" t="n">
        <v>0</v>
      </c>
      <c r="E66" s="17" t="n">
        <v>10</v>
      </c>
      <c r="F66" s="17" t="n">
        <v>50</v>
      </c>
      <c r="G66" s="17" t="n">
        <v>200</v>
      </c>
      <c r="H66" s="17" t="n">
        <v>2500</v>
      </c>
      <c r="I66" s="7">
        <f>IF(D66&gt;=H66,"Platino",IF(D66&gt;=G66,"Oro",IF(D66&gt;=F66,"Argento",IF(D66&gt;=E66,"Bronzo","Nessuno"))))</f>
        <v/>
      </c>
      <c r="J66" s="6">
        <f>IF(D66&gt;=H66,1,IF(D66&gt;=G66,IF(H66=G66,1,(D66-G66)/(H66-G66)),IF(D66&gt;=F66,IF(G66=F66,1,(D66-F66)/(G66-F66)),IF(D66&gt;=E66,IF(F66=E66,1,(D66-E66)/(F66-E66)),IF(E66=0,0,D66/E66)))))</f>
        <v/>
      </c>
    </row>
    <row r="67">
      <c r="A67" s="3" t="inlineStr">
        <is>
          <t>Spedizioniere</t>
        </is>
      </c>
      <c r="B67" s="3" t="inlineStr">
        <is>
          <t>Tipo</t>
        </is>
      </c>
      <c r="C67" s="3" t="inlineStr">
        <is>
          <t>Pokémon tipo Acciaio catturati</t>
        </is>
      </c>
      <c r="D67" s="16" t="n">
        <v>0</v>
      </c>
      <c r="E67" s="17" t="n">
        <v>10</v>
      </c>
      <c r="F67" s="17" t="n">
        <v>50</v>
      </c>
      <c r="G67" s="17" t="n">
        <v>200</v>
      </c>
      <c r="H67" s="17" t="n">
        <v>2500</v>
      </c>
      <c r="I67" s="7">
        <f>IF(D67&gt;=H67,"Platino",IF(D67&gt;=G67,"Oro",IF(D67&gt;=F67,"Argento",IF(D67&gt;=E67,"Bronzo","Nessuno"))))</f>
        <v/>
      </c>
      <c r="J67" s="6">
        <f>IF(D67&gt;=H67,1,IF(D67&gt;=G67,IF(H67=G67,1,(D67-G67)/(H67-G67)),IF(D67&gt;=F67,IF(G67=F67,1,(D67-F67)/(G67-F67)),IF(D67&gt;=E67,IF(F67=E67,1,(D67-E67)/(F67-E67)),IF(E67=0,0,D67/E67)))))</f>
        <v/>
      </c>
    </row>
    <row r="68">
      <c r="A68" s="3" t="inlineStr">
        <is>
          <t>Accendino</t>
        </is>
      </c>
      <c r="B68" s="3" t="inlineStr">
        <is>
          <t>Tipo</t>
        </is>
      </c>
      <c r="C68" s="3" t="inlineStr">
        <is>
          <t>Pokémon tipo Fuoco catturati</t>
        </is>
      </c>
      <c r="D68" s="16" t="n">
        <v>0</v>
      </c>
      <c r="E68" s="17" t="n">
        <v>10</v>
      </c>
      <c r="F68" s="17" t="n">
        <v>50</v>
      </c>
      <c r="G68" s="17" t="n">
        <v>200</v>
      </c>
      <c r="H68" s="17" t="n">
        <v>2500</v>
      </c>
      <c r="I68" s="7">
        <f>IF(D68&gt;=H68,"Platino",IF(D68&gt;=G68,"Oro",IF(D68&gt;=F68,"Argento",IF(D68&gt;=E68,"Bronzo","Nessuno"))))</f>
        <v/>
      </c>
      <c r="J68" s="6">
        <f>IF(D68&gt;=H68,1,IF(D68&gt;=G68,IF(H68=G68,1,(D68-G68)/(H68-G68)),IF(D68&gt;=F68,IF(G68=F68,1,(D68-F68)/(G68-F68)),IF(D68&gt;=E68,IF(F68=E68,1,(D68-E68)/(F68-E68)),IF(E68=0,0,D68/E68)))))</f>
        <v/>
      </c>
    </row>
    <row r="69">
      <c r="A69" s="3" t="inlineStr">
        <is>
          <t>Nuotatore</t>
        </is>
      </c>
      <c r="B69" s="3" t="inlineStr">
        <is>
          <t>Tipo</t>
        </is>
      </c>
      <c r="C69" s="3" t="inlineStr">
        <is>
          <t>Pokémon tipo Acqua catturati</t>
        </is>
      </c>
      <c r="D69" s="16" t="n">
        <v>0</v>
      </c>
      <c r="E69" s="17" t="n">
        <v>10</v>
      </c>
      <c r="F69" s="17" t="n">
        <v>50</v>
      </c>
      <c r="G69" s="17" t="n">
        <v>200</v>
      </c>
      <c r="H69" s="17" t="n">
        <v>2500</v>
      </c>
      <c r="I69" s="7">
        <f>IF(D69&gt;=H69,"Platino",IF(D69&gt;=G69,"Oro",IF(D69&gt;=F69,"Argento",IF(D69&gt;=E69,"Bronzo","Nessuno"))))</f>
        <v/>
      </c>
      <c r="J69" s="6">
        <f>IF(D69&gt;=H69,1,IF(D69&gt;=G69,IF(H69=G69,1,(D69-G69)/(H69-G69)),IF(D69&gt;=F69,IF(G69=F69,1,(D69-F69)/(G69-F69)),IF(D69&gt;=E69,IF(F69=E69,1,(D69-E69)/(F69-E69)),IF(E69=0,0,D69/E69)))))</f>
        <v/>
      </c>
    </row>
    <row r="70">
      <c r="A70" s="3" t="inlineStr">
        <is>
          <t>Giardiniere</t>
        </is>
      </c>
      <c r="B70" s="3" t="inlineStr">
        <is>
          <t>Tipo</t>
        </is>
      </c>
      <c r="C70" s="3" t="inlineStr">
        <is>
          <t>Pokémon tipo Erba catturati</t>
        </is>
      </c>
      <c r="D70" s="16" t="n">
        <v>0</v>
      </c>
      <c r="E70" s="17" t="n">
        <v>10</v>
      </c>
      <c r="F70" s="17" t="n">
        <v>50</v>
      </c>
      <c r="G70" s="17" t="n">
        <v>200</v>
      </c>
      <c r="H70" s="17" t="n">
        <v>2500</v>
      </c>
      <c r="I70" s="7">
        <f>IF(D70&gt;=H70,"Platino",IF(D70&gt;=G70,"Oro",IF(D70&gt;=F70,"Argento",IF(D70&gt;=E70,"Bronzo","Nessuno"))))</f>
        <v/>
      </c>
      <c r="J70" s="6">
        <f>IF(D70&gt;=H70,1,IF(D70&gt;=G70,IF(H70=G70,1,(D70-G70)/(H70-G70)),IF(D70&gt;=F70,IF(G70=F70,1,(D70-F70)/(G70-F70)),IF(D70&gt;=E70,IF(F70=E70,1,(D70-E70)/(F70-E70)),IF(E70=0,0,D70/E70)))))</f>
        <v/>
      </c>
    </row>
    <row r="71">
      <c r="A71" s="3" t="inlineStr">
        <is>
          <t>Chitarrista</t>
        </is>
      </c>
      <c r="B71" s="3" t="inlineStr">
        <is>
          <t>Tipo</t>
        </is>
      </c>
      <c r="C71" s="3" t="inlineStr">
        <is>
          <t>Pokémon tipo Elettro catturati</t>
        </is>
      </c>
      <c r="D71" s="16" t="n">
        <v>0</v>
      </c>
      <c r="E71" s="17" t="n">
        <v>10</v>
      </c>
      <c r="F71" s="17" t="n">
        <v>50</v>
      </c>
      <c r="G71" s="17" t="n">
        <v>200</v>
      </c>
      <c r="H71" s="17" t="n">
        <v>2500</v>
      </c>
      <c r="I71" s="7">
        <f>IF(D71&gt;=H71,"Platino",IF(D71&gt;=G71,"Oro",IF(D71&gt;=F71,"Argento",IF(D71&gt;=E71,"Bronzo","Nessuno"))))</f>
        <v/>
      </c>
      <c r="J71" s="6">
        <f>IF(D71&gt;=H71,1,IF(D71&gt;=G71,IF(H71=G71,1,(D71-G71)/(H71-G71)),IF(D71&gt;=F71,IF(G71=F71,1,(D71-F71)/(G71-F71)),IF(D71&gt;=E71,IF(F71=E71,1,(D71-E71)/(F71-E71)),IF(E71=0,0,D71/E71)))))</f>
        <v/>
      </c>
    </row>
    <row r="72">
      <c r="A72" s="3" t="inlineStr">
        <is>
          <t>Sensitivo</t>
        </is>
      </c>
      <c r="B72" s="3" t="inlineStr">
        <is>
          <t>Tipo</t>
        </is>
      </c>
      <c r="C72" s="3" t="inlineStr">
        <is>
          <t>Pokémon tipo Psico catturati</t>
        </is>
      </c>
      <c r="D72" s="16" t="n">
        <v>0</v>
      </c>
      <c r="E72" s="17" t="n">
        <v>10</v>
      </c>
      <c r="F72" s="17" t="n">
        <v>50</v>
      </c>
      <c r="G72" s="17" t="n">
        <v>200</v>
      </c>
      <c r="H72" s="17" t="n">
        <v>2500</v>
      </c>
      <c r="I72" s="7">
        <f>IF(D72&gt;=H72,"Platino",IF(D72&gt;=G72,"Oro",IF(D72&gt;=F72,"Argento",IF(D72&gt;=E72,"Bronzo","Nessuno"))))</f>
        <v/>
      </c>
      <c r="J72" s="6">
        <f>IF(D72&gt;=H72,1,IF(D72&gt;=G72,IF(H72=G72,1,(D72-G72)/(H72-G72)),IF(D72&gt;=F72,IF(G72=F72,1,(D72-F72)/(G72-F72)),IF(D72&gt;=E72,IF(F72=E72,1,(D72-E72)/(F72-E72)),IF(E72=0,0,D72/E72)))))</f>
        <v/>
      </c>
    </row>
    <row r="73">
      <c r="A73" s="3" t="inlineStr">
        <is>
          <t>Sciatore</t>
        </is>
      </c>
      <c r="B73" s="3" t="inlineStr">
        <is>
          <t>Tipo</t>
        </is>
      </c>
      <c r="C73" s="3" t="inlineStr">
        <is>
          <t>Pokémon tipo Ghiaccio catturati</t>
        </is>
      </c>
      <c r="D73" s="16" t="n">
        <v>0</v>
      </c>
      <c r="E73" s="17" t="n">
        <v>10</v>
      </c>
      <c r="F73" s="17" t="n">
        <v>50</v>
      </c>
      <c r="G73" s="17" t="n">
        <v>200</v>
      </c>
      <c r="H73" s="17" t="n">
        <v>2500</v>
      </c>
      <c r="I73" s="7">
        <f>IF(D73&gt;=H73,"Platino",IF(D73&gt;=G73,"Oro",IF(D73&gt;=F73,"Argento",IF(D73&gt;=E73,"Bronzo","Nessuno"))))</f>
        <v/>
      </c>
      <c r="J73" s="6">
        <f>IF(D73&gt;=H73,1,IF(D73&gt;=G73,IF(H73=G73,1,(D73-G73)/(H73-G73)),IF(D73&gt;=F73,IF(G73=F73,1,(D73-F73)/(G73-F73)),IF(D73&gt;=E73,IF(F73=E73,1,(D73-E73)/(F73-E73)),IF(E73=0,0,D73/E73)))))</f>
        <v/>
      </c>
    </row>
    <row r="74">
      <c r="A74" s="3" t="inlineStr">
        <is>
          <t>Domatore</t>
        </is>
      </c>
      <c r="B74" s="3" t="inlineStr">
        <is>
          <t>Tipo</t>
        </is>
      </c>
      <c r="C74" s="3" t="inlineStr">
        <is>
          <t>Pokémon tipo Drago catturati</t>
        </is>
      </c>
      <c r="D74" s="16" t="n">
        <v>0</v>
      </c>
      <c r="E74" s="17" t="n">
        <v>10</v>
      </c>
      <c r="F74" s="17" t="n">
        <v>50</v>
      </c>
      <c r="G74" s="17" t="n">
        <v>200</v>
      </c>
      <c r="H74" s="17" t="n">
        <v>2500</v>
      </c>
      <c r="I74" s="7">
        <f>IF(D74&gt;=H74,"Platino",IF(D74&gt;=G74,"Oro",IF(D74&gt;=F74,"Argento",IF(D74&gt;=E74,"Bronzo","Nessuno"))))</f>
        <v/>
      </c>
      <c r="J74" s="6">
        <f>IF(D74&gt;=H74,1,IF(D74&gt;=G74,IF(H74=G74,1,(D74-G74)/(H74-G74)),IF(D74&gt;=F74,IF(G74=F74,1,(D74-F74)/(G74-F74)),IF(D74&gt;=E74,IF(F74=E74,1,(D74-E74)/(F74-E74)),IF(E74=0,0,D74/E74)))))</f>
        <v/>
      </c>
    </row>
    <row r="75">
      <c r="A75" s="3" t="inlineStr">
        <is>
          <t>Fata</t>
        </is>
      </c>
      <c r="B75" s="3" t="inlineStr">
        <is>
          <t>Tipo</t>
        </is>
      </c>
      <c r="C75" s="3" t="inlineStr">
        <is>
          <t>Pokémon tipo Folletto catturati</t>
        </is>
      </c>
      <c r="D75" s="16" t="n">
        <v>0</v>
      </c>
      <c r="E75" s="17" t="n">
        <v>10</v>
      </c>
      <c r="F75" s="17" t="n">
        <v>50</v>
      </c>
      <c r="G75" s="17" t="n">
        <v>200</v>
      </c>
      <c r="H75" s="17" t="n">
        <v>2500</v>
      </c>
      <c r="I75" s="7">
        <f>IF(D75&gt;=H75,"Platino",IF(D75&gt;=G75,"Oro",IF(D75&gt;=F75,"Argento",IF(D75&gt;=E75,"Bronzo","Nessuno"))))</f>
        <v/>
      </c>
      <c r="J75" s="6">
        <f>IF(D75&gt;=H75,1,IF(D75&gt;=G75,IF(H75=G75,1,(D75-G75)/(H75-G75)),IF(D75&gt;=F75,IF(G75=F75,1,(D75-F75)/(G75-F75)),IF(D75&gt;=E75,IF(F75=E75,1,(D75-E75)/(F75-E75)),IF(E75=0,0,D75/E75)))))</f>
        <v/>
      </c>
    </row>
    <row r="76">
      <c r="A76" s="3" t="inlineStr">
        <is>
          <t>Delinquente</t>
        </is>
      </c>
      <c r="B76" s="3" t="inlineStr">
        <is>
          <t>Tipo</t>
        </is>
      </c>
      <c r="C76" s="3" t="inlineStr">
        <is>
          <t>Pokémon tipo Buio catturati</t>
        </is>
      </c>
      <c r="D76" s="16" t="n">
        <v>0</v>
      </c>
      <c r="E76" s="17" t="n">
        <v>10</v>
      </c>
      <c r="F76" s="17" t="n">
        <v>50</v>
      </c>
      <c r="G76" s="17" t="n">
        <v>200</v>
      </c>
      <c r="H76" s="17" t="n">
        <v>2500</v>
      </c>
      <c r="I76" s="7">
        <f>IF(D76&gt;=H76,"Platino",IF(D76&gt;=G76,"Oro",IF(D76&gt;=F76,"Argento",IF(D76&gt;=E76,"Bronzo","Nessuno"))))</f>
        <v/>
      </c>
      <c r="J76" s="6">
        <f>IF(D76&gt;=H76,1,IF(D76&gt;=G76,IF(H76=G76,1,(D76-G76)/(H76-G76)),IF(D76&gt;=F76,IF(G76=F76,1,(D76-F76)/(G76-F76)),IF(D76&gt;=E76,IF(F76=E76,1,(D76-E76)/(F76-E76)),IF(E76=0,0,D76/E76)))))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8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8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19" t="n">
        <v>0</v>
      </c>
    </row>
    <row r="15">
      <c r="A15" s="3" t="inlineStr">
        <is>
          <t>Caramelle</t>
        </is>
      </c>
      <c r="B15" s="19" t="n">
        <v>0</v>
      </c>
    </row>
    <row r="16">
      <c r="A16" s="3" t="inlineStr">
        <is>
          <t>Cuori</t>
        </is>
      </c>
      <c r="B16" s="19" t="n">
        <v>0</v>
      </c>
    </row>
    <row r="17">
      <c r="A17" s="3" t="inlineStr">
        <is>
          <t>Caramelle / Km</t>
        </is>
      </c>
      <c r="B17" s="20">
        <f>IF(B14=0,0,B15/B14)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2026-08-27T08:26:05Z</dcterms:created>
  <dcterms:modified xsi:type="dcterms:W3CDTF">2026-08-27T08:26:05Z</dcterms:modified>
</cp:coreProperties>
</file>